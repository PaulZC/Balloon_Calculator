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thunderbird\home\pclark\Documents\Balloons\Latex Balloon Calc\"/>
    </mc:Choice>
  </mc:AlternateContent>
  <bookViews>
    <workbookView xWindow="0" yWindow="0" windowWidth="19200" windowHeight="9630"/>
  </bookViews>
  <sheets>
    <sheet name="Single_Balloon__Burst_Altitude" sheetId="1" r:id="rId1"/>
    <sheet name="Single_Balloon__Ascent_Rate" sheetId="5" r:id="rId2"/>
    <sheet name="Dual_Balloon__Ascent_Rate" sheetId="6" r:id="rId3"/>
    <sheet name="Dual_Balloon__Neck_Lift" sheetId="7" r:id="rId4"/>
    <sheet name="Balloon_Data" sheetId="2" r:id="rId5"/>
    <sheet name="Gas" sheetId="3" r:id="rId6"/>
    <sheet name="Constants" sheetId="4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6" l="1"/>
  <c r="C58" i="7"/>
  <c r="C51" i="7"/>
  <c r="C16" i="7"/>
  <c r="C9" i="7"/>
  <c r="C16" i="6"/>
  <c r="C51" i="6"/>
  <c r="C20" i="6"/>
  <c r="C10" i="6"/>
  <c r="C8" i="5"/>
  <c r="C32" i="1"/>
  <c r="C8" i="1"/>
  <c r="C15" i="6" l="1"/>
  <c r="C19" i="6" s="1"/>
  <c r="C18" i="7"/>
  <c r="C59" i="7"/>
  <c r="C62" i="7" l="1"/>
  <c r="C34" i="7"/>
  <c r="C35" i="7" s="1"/>
  <c r="C31" i="7"/>
  <c r="C20" i="7"/>
  <c r="C42" i="7" s="1"/>
  <c r="C11" i="7"/>
  <c r="C13" i="7" s="1"/>
  <c r="C36" i="7" s="1"/>
  <c r="C55" i="7"/>
  <c r="C57" i="7"/>
  <c r="C56" i="7"/>
  <c r="C25" i="7"/>
  <c r="C28" i="7"/>
  <c r="C30" i="7"/>
  <c r="C43" i="7" l="1"/>
  <c r="C47" i="7" s="1"/>
  <c r="C60" i="7" s="1"/>
  <c r="C49" i="7"/>
  <c r="C50" i="7" s="1"/>
  <c r="C37" i="7"/>
  <c r="C41" i="7" s="1"/>
  <c r="C63" i="7" s="1"/>
  <c r="C71" i="6"/>
  <c r="C68" i="6"/>
  <c r="C41" i="6"/>
  <c r="C30" i="6"/>
  <c r="C9" i="6"/>
  <c r="C13" i="6" s="1"/>
  <c r="C38" i="6"/>
  <c r="C37" i="6"/>
  <c r="C39" i="6"/>
  <c r="C29" i="6"/>
  <c r="C24" i="6"/>
  <c r="C27" i="6"/>
  <c r="C40" i="6" l="1"/>
  <c r="C66" i="7"/>
  <c r="C67" i="7" s="1"/>
  <c r="C38" i="7"/>
  <c r="C39" i="7"/>
  <c r="C64" i="7"/>
  <c r="C65" i="7" s="1"/>
  <c r="C53" i="6"/>
  <c r="C33" i="6"/>
  <c r="C43" i="5"/>
  <c r="C44" i="5" s="1"/>
  <c r="C24" i="5"/>
  <c r="C25" i="5" s="1"/>
  <c r="C21" i="5"/>
  <c r="C28" i="5" s="1"/>
  <c r="C7" i="5"/>
  <c r="C11" i="5" s="1"/>
  <c r="C30" i="5" s="1"/>
  <c r="C27" i="1"/>
  <c r="C28" i="1" s="1"/>
  <c r="C21" i="1"/>
  <c r="C24" i="1"/>
  <c r="C25" i="1" s="1"/>
  <c r="C7" i="1"/>
  <c r="C11" i="1" s="1"/>
  <c r="C20" i="5"/>
  <c r="C18" i="5"/>
  <c r="C15" i="5"/>
  <c r="C31" i="1"/>
  <c r="C30" i="1"/>
  <c r="C29" i="1"/>
  <c r="C20" i="1"/>
  <c r="C15" i="1"/>
  <c r="C18" i="1"/>
  <c r="C40" i="7" l="1"/>
  <c r="C69" i="7" s="1"/>
  <c r="C68" i="7"/>
  <c r="C45" i="7"/>
  <c r="C46" i="7" s="1"/>
  <c r="C44" i="7"/>
  <c r="C34" i="6"/>
  <c r="C42" i="6"/>
  <c r="C44" i="6" s="1"/>
  <c r="C27" i="5"/>
  <c r="C31" i="5" l="1"/>
  <c r="C48" i="7"/>
  <c r="C52" i="7" s="1"/>
  <c r="C50" i="6"/>
  <c r="C57" i="6" s="1"/>
  <c r="C43" i="6"/>
  <c r="C45" i="6"/>
  <c r="C47" i="6" s="1"/>
  <c r="C55" i="6" s="1"/>
  <c r="C32" i="5"/>
  <c r="C33" i="5" l="1"/>
  <c r="C35" i="5" s="1"/>
  <c r="C54" i="7"/>
  <c r="C61" i="7"/>
  <c r="C46" i="6"/>
  <c r="C48" i="6"/>
  <c r="C33" i="1"/>
  <c r="C34" i="5" l="1"/>
  <c r="C36" i="5" s="1"/>
  <c r="C40" i="5" s="1"/>
  <c r="C42" i="5" s="1"/>
  <c r="C35" i="1"/>
  <c r="C39" i="1" s="1"/>
  <c r="C34" i="1"/>
  <c r="C54" i="6"/>
  <c r="C36" i="1"/>
  <c r="C37" i="1" s="1"/>
  <c r="C45" i="5"/>
  <c r="C48" i="5"/>
  <c r="C46" i="5"/>
  <c r="C47" i="5"/>
  <c r="C37" i="5" l="1"/>
  <c r="C39" i="5" s="1"/>
  <c r="C49" i="5"/>
  <c r="C40" i="1"/>
  <c r="C41" i="1" s="1"/>
  <c r="C38" i="1"/>
  <c r="C56" i="6"/>
  <c r="C58" i="6" s="1"/>
  <c r="C59" i="6" s="1"/>
  <c r="C61" i="6" s="1"/>
  <c r="C41" i="5"/>
  <c r="C38" i="5" l="1"/>
  <c r="C60" i="6"/>
  <c r="C62" i="6" s="1"/>
  <c r="C65" i="6" l="1"/>
  <c r="C63" i="6"/>
  <c r="C64" i="6" s="1"/>
  <c r="C67" i="6" l="1"/>
  <c r="C66" i="6"/>
  <c r="C69" i="6" l="1"/>
  <c r="C70" i="6" s="1"/>
</calcChain>
</file>

<file path=xl/sharedStrings.xml><?xml version="1.0" encoding="utf-8"?>
<sst xmlns="http://schemas.openxmlformats.org/spreadsheetml/2006/main" count="494" uniqueCount="191">
  <si>
    <t>Paul's Balloon Calculator</t>
  </si>
  <si>
    <t>Single Balloon - Specified Burst Altitude</t>
  </si>
  <si>
    <t>Balloon Data</t>
  </si>
  <si>
    <t>Totex100</t>
  </si>
  <si>
    <t>Totex200</t>
  </si>
  <si>
    <t>Totex300</t>
  </si>
  <si>
    <t>Totex350</t>
  </si>
  <si>
    <t>Totex450</t>
  </si>
  <si>
    <t>Totex500</t>
  </si>
  <si>
    <t>Totex600</t>
  </si>
  <si>
    <t>Totex700</t>
  </si>
  <si>
    <t>Totex800</t>
  </si>
  <si>
    <t>Totex1000</t>
  </si>
  <si>
    <t>Totex1200</t>
  </si>
  <si>
    <t>Totex1500</t>
  </si>
  <si>
    <t>Totex2000</t>
  </si>
  <si>
    <t>Totex3000</t>
  </si>
  <si>
    <t>Hwoyee100</t>
  </si>
  <si>
    <t>Hwoyee200</t>
  </si>
  <si>
    <t>Hwoyee300</t>
  </si>
  <si>
    <t>Hwoyee350</t>
  </si>
  <si>
    <t>Hwoyee500</t>
  </si>
  <si>
    <t>Hwoyee600</t>
  </si>
  <si>
    <t>Hwoyee750</t>
  </si>
  <si>
    <t>Hwoyee800</t>
  </si>
  <si>
    <t>Hwoyee1000</t>
  </si>
  <si>
    <t>Hwoyee1200</t>
  </si>
  <si>
    <t>Hwoyee1600</t>
  </si>
  <si>
    <t>Hwoyee2000</t>
  </si>
  <si>
    <t>Hwoyee3000</t>
  </si>
  <si>
    <t>Pawan100</t>
  </si>
  <si>
    <t>Pawan350</t>
  </si>
  <si>
    <t>Pawan600</t>
  </si>
  <si>
    <t>Pawan800</t>
  </si>
  <si>
    <t>Pawan900</t>
  </si>
  <si>
    <t>Pawan1200</t>
  </si>
  <si>
    <t>Pawan1600</t>
  </si>
  <si>
    <t>Pawan2000</t>
  </si>
  <si>
    <t>Balloon</t>
  </si>
  <si>
    <t>Burst Diameter</t>
  </si>
  <si>
    <t>Mass</t>
  </si>
  <si>
    <t>Coeff of Drag</t>
  </si>
  <si>
    <t>Balloon Mass</t>
  </si>
  <si>
    <t>g</t>
  </si>
  <si>
    <t>Units</t>
  </si>
  <si>
    <t>Balloon Fill Kit Mass</t>
  </si>
  <si>
    <t>Total Balloon Mass</t>
  </si>
  <si>
    <t>Payload Mass</t>
  </si>
  <si>
    <t>Gas Data</t>
  </si>
  <si>
    <t>Gas</t>
  </si>
  <si>
    <t>He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</si>
  <si>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</si>
  <si>
    <t>Lift at STP</t>
  </si>
  <si>
    <t>Molecular Mass (kg)</t>
  </si>
  <si>
    <t>Mass per mol (kg/mol)</t>
  </si>
  <si>
    <r>
      <t>R</t>
    </r>
    <r>
      <rPr>
        <vertAlign val="subscript"/>
        <sz val="11"/>
        <color theme="1"/>
        <rFont val="Calibri"/>
        <family val="2"/>
        <scheme val="minor"/>
      </rPr>
      <t>specific</t>
    </r>
    <r>
      <rPr>
        <sz val="11"/>
        <color theme="1"/>
        <rFont val="Calibri"/>
        <family val="2"/>
        <scheme val="minor"/>
      </rPr>
      <t xml:space="preserve"> (J/kgK)</t>
    </r>
  </si>
  <si>
    <t>Launch Altitude</t>
  </si>
  <si>
    <t>m</t>
  </si>
  <si>
    <t>C</t>
  </si>
  <si>
    <t>Model Atmospheric Temperature at Launch</t>
  </si>
  <si>
    <t>Model Atmospheric Pressure at Launch</t>
  </si>
  <si>
    <t>Model Atmospheric Density at Launch</t>
  </si>
  <si>
    <t>kPa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</si>
  <si>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</si>
  <si>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Comment</t>
  </si>
  <si>
    <t>Enter the model atmospheric temperature if an accurate reading is not available</t>
  </si>
  <si>
    <t>Enter the model atmospheric pressure if an accurate reading is not available</t>
  </si>
  <si>
    <t>Actual Atmospheric Temperature at Launch</t>
  </si>
  <si>
    <t>Actual Balloon Gas Temperature at Launch</t>
  </si>
  <si>
    <t>Actual Atmospheric Pressure at Launch</t>
  </si>
  <si>
    <t>Actual Atmospheric Density at Launch</t>
  </si>
  <si>
    <t>Balloon Gas Density at Launch</t>
  </si>
  <si>
    <t>0C in K</t>
  </si>
  <si>
    <t>Constants</t>
  </si>
  <si>
    <t>Acceleration due to Gravity</t>
  </si>
  <si>
    <t>Gas Constant</t>
  </si>
  <si>
    <t>kg/mol</t>
  </si>
  <si>
    <t>Burst Altitude</t>
  </si>
  <si>
    <t>Balloon Diameter at Burst</t>
  </si>
  <si>
    <t>Balloon Volume at Launch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</si>
  <si>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</si>
  <si>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mol</t>
  </si>
  <si>
    <t>Model Atmospheric Pressure at Burst</t>
  </si>
  <si>
    <t>Model Atmospheric Temperature at Burst</t>
  </si>
  <si>
    <t>mol of Lift Gas</t>
  </si>
  <si>
    <t>Balloon Volume at Burst</t>
  </si>
  <si>
    <t>L</t>
  </si>
  <si>
    <t>Required Volume of Gas</t>
  </si>
  <si>
    <t>Balloon Diameter at Launch</t>
  </si>
  <si>
    <t>Gross Lift</t>
  </si>
  <si>
    <t>kg</t>
  </si>
  <si>
    <t>Free Lift</t>
  </si>
  <si>
    <t>Neck Lift</t>
  </si>
  <si>
    <t>Balloon Cross Section Area at Launch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</si>
  <si>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</si>
  <si>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Approximate Ascent Rate</t>
  </si>
  <si>
    <t>m/s</t>
  </si>
  <si>
    <t>Model Atmospheric Density at Burst</t>
  </si>
  <si>
    <t>Approximate Time to Burst</t>
  </si>
  <si>
    <t>mins</t>
  </si>
  <si>
    <t>Ascent Rate</t>
  </si>
  <si>
    <t>https://en.wikipedia.org/w/index.php?title=Cubic_function&amp;section=23#Reduction_to_a_depressed_cubic</t>
  </si>
  <si>
    <t>https://github.com/ukhas/cusf-burst-calc</t>
  </si>
  <si>
    <t>Based extensively on</t>
  </si>
  <si>
    <t>https://en.wikipedia.org/w/index.php?title=Cubic_function&amp;section=23#Cardano's_method</t>
  </si>
  <si>
    <t>A</t>
  </si>
  <si>
    <t>B</t>
  </si>
  <si>
    <t>D</t>
  </si>
  <si>
    <t>P</t>
  </si>
  <si>
    <t>Q</t>
  </si>
  <si>
    <t>H</t>
  </si>
  <si>
    <t>U</t>
  </si>
  <si>
    <t>V</t>
  </si>
  <si>
    <t>Mass of Gas per mol</t>
  </si>
  <si>
    <t>Single Balloon - Specified Ascent Rate</t>
  </si>
  <si>
    <t>Dual Balloon - Specified Ascent Rate</t>
  </si>
  <si>
    <t>Lift Balloon</t>
  </si>
  <si>
    <t>Lift Balloon Mass</t>
  </si>
  <si>
    <t>Lift Balloon Fill Kit Mass</t>
  </si>
  <si>
    <t>Total Lift Balloon Mass</t>
  </si>
  <si>
    <t>Float Balloon</t>
  </si>
  <si>
    <t>Float Balloon Mass</t>
  </si>
  <si>
    <t>Float Balloon Fill Kit Mass</t>
  </si>
  <si>
    <t>Total Float Balloon Mass</t>
  </si>
  <si>
    <t>Separation Altitude</t>
  </si>
  <si>
    <t>Balloon Gas Density at Separation</t>
  </si>
  <si>
    <t>rho=PM/RT</t>
  </si>
  <si>
    <t>Atmospheric Pressure at Separation</t>
  </si>
  <si>
    <t>Atmospheric Temperature at Separation</t>
  </si>
  <si>
    <t>Float Balloon Volume at Separation</t>
  </si>
  <si>
    <t>Atmospheric Density at Separation</t>
  </si>
  <si>
    <t>Float Balloon Diameter at Separation</t>
  </si>
  <si>
    <t>Float Balloon Burst Diameter</t>
  </si>
  <si>
    <t>Float Balloon mol of Lift Gas</t>
  </si>
  <si>
    <t>Float Balloon Volume at Launch</t>
  </si>
  <si>
    <t>Float Balloon Volume of Lift Gas</t>
  </si>
  <si>
    <t>Float Balloon Diameter at Launch</t>
  </si>
  <si>
    <t>Float Balloon Gross Lift</t>
  </si>
  <si>
    <t>Float Balloon Neck Lift</t>
  </si>
  <si>
    <t>D0</t>
  </si>
  <si>
    <t>D1</t>
  </si>
  <si>
    <t>D2</t>
  </si>
  <si>
    <t>Lift Balloon Diameter at Launch</t>
  </si>
  <si>
    <t>Lift Balloon Gross Lift</t>
  </si>
  <si>
    <t>Lift Balloon Neck Lift</t>
  </si>
  <si>
    <t>Lift Balloon Volume at Launch</t>
  </si>
  <si>
    <t>Lift Balloon Volume at Separation</t>
  </si>
  <si>
    <t>Lift Balloon Diameter at Separation</t>
  </si>
  <si>
    <t>Lift Balloon Diameter at Burst</t>
  </si>
  <si>
    <t>Lift Balloon Volume of Gas</t>
  </si>
  <si>
    <t>Assumes that the Float Balloon will provide zero lift after separation</t>
  </si>
  <si>
    <t>Dual Balloon - Specified Combined Neck Lift</t>
  </si>
  <si>
    <t>Float Balloon Neck Lift at Launch</t>
  </si>
  <si>
    <t>Lift Balloon Neck Lift at Launch</t>
  </si>
  <si>
    <t>Float Balloon Gross Lift at Launch</t>
  </si>
  <si>
    <t>Float Balloon Cross Section Area at Launch</t>
  </si>
  <si>
    <t>Lift Balloon Gross Lift at Launch</t>
  </si>
  <si>
    <t>Lift Balloon Volume of Lift Gas</t>
  </si>
  <si>
    <t>Lift Balloon Cross Section Area at Launch</t>
  </si>
  <si>
    <t>Total Balloon Cross Section Area at Launch</t>
  </si>
  <si>
    <t>Total Gross Lift at Launch</t>
  </si>
  <si>
    <t>Free Lift at Launch</t>
  </si>
  <si>
    <t>Approximate Time to Separation</t>
  </si>
  <si>
    <t>Assumes float balloon will provide zero lift at separation</t>
  </si>
  <si>
    <t>Adjust this to provide the required ascent rate post-separation</t>
  </si>
  <si>
    <t>Then adjust this to provide the required ascent rate at launch</t>
  </si>
  <si>
    <t>V=nRT/P</t>
  </si>
  <si>
    <t>Float Balloon Cross Section Area at Separation</t>
  </si>
  <si>
    <t>Float Balloon Free Lift after Separation</t>
  </si>
  <si>
    <t>Float Balloon Gross Lift after Separation</t>
  </si>
  <si>
    <t>Balloon Direction after Separation</t>
  </si>
  <si>
    <t>Approximate Ascent Rate after Separation</t>
  </si>
  <si>
    <t>Initial Ascent Rate</t>
  </si>
  <si>
    <t>Lift Balloon mol of Lift Gas</t>
  </si>
  <si>
    <t>Lift Balloon Burst Diameter</t>
  </si>
  <si>
    <t>(Approximate ascent rate is calculated using the conditions at launch)</t>
  </si>
  <si>
    <t>Calculates the expected ascent rate at launch and after separation based on the combined balloon neck lift</t>
  </si>
  <si>
    <t>Manufacturer's Coefficient of Drag</t>
  </si>
  <si>
    <t>Actual Coefficient of Drag</t>
  </si>
  <si>
    <t>0.25 for low drag; 0.30 for high drag</t>
  </si>
  <si>
    <t>Enter the manufacturer's coefficient if an accurate figure is not available</t>
  </si>
  <si>
    <t>Balloon Membrane Pressure at Launch</t>
  </si>
  <si>
    <t>Balloon Membrane Pressure at Burst</t>
  </si>
  <si>
    <t>Typical value is 0.15 kPa</t>
  </si>
  <si>
    <t>Float Balloon: Manufacturer's Coefficient of Drag</t>
  </si>
  <si>
    <t>Float Balloon: Actual Coefficient of Drag</t>
  </si>
  <si>
    <t>A value of zero seems to work best</t>
  </si>
  <si>
    <t>Lift Balloon: Manufacturer's Coefficient of Drag</t>
  </si>
  <si>
    <t>Lift Balloon: Actual Coefficient of Drag</t>
  </si>
  <si>
    <t>Maximum Coefficient of Drag</t>
  </si>
  <si>
    <t>Balloon Membrane Pressure at Separation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</si>
</sst>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0.000000E+00"/>
    <numFmt numFmtId="167" formatCode="0.0000E+00"/>
    <numFmt numFmtId="168" formatCode="0.0000000"/>
    <numFmt numFmtId="169" formatCode="0.0000"/>
    <numFmt numFmtId="170" formatCode="0.000E+00"/>
  </numFmts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9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49" fontId="0" fillId="0" borderId="0" xfId="0" applyNumberFormat="1"/>
    <xf numFmtId="2" fontId="0" fillId="0" borderId="0" xfId="0" applyNumberFormat="1"/>
    <xf numFmtId="49" fontId="0" fillId="0" borderId="0" xfId="0" applyNumberFormat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wrapText="1"/>
    </xf>
    <xf numFmtId="167" fontId="0" fillId="0" borderId="0" xfId="0" applyNumberFormat="1"/>
    <xf numFmtId="1" fontId="0" fillId="0" borderId="0" xfId="0" applyNumberFormat="1" applyProtection="1"/>
    <xf numFmtId="168" fontId="0" fillId="0" borderId="0" xfId="0" applyNumberFormat="1"/>
    <xf numFmtId="0" fontId="0" fillId="2" borderId="0" xfId="0" applyFill="1" applyAlignment="1" applyProtection="1">
      <alignment horizontal="right"/>
      <protection locked="0"/>
    </xf>
    <xf numFmtId="164" fontId="0" fillId="2" borderId="0" xfId="0" applyNumberFormat="1" applyFill="1" applyProtection="1">
      <protection locked="0"/>
    </xf>
    <xf numFmtId="1" fontId="0" fillId="2" borderId="0" xfId="0" applyNumberFormat="1" applyFill="1" applyProtection="1">
      <protection locked="0"/>
    </xf>
    <xf numFmtId="169" fontId="0" fillId="0" borderId="0" xfId="0" applyNumberFormat="1" applyFill="1" applyProtection="1"/>
    <xf numFmtId="164" fontId="0" fillId="0" borderId="0" xfId="0" applyNumberFormat="1" applyFill="1" applyProtection="1"/>
    <xf numFmtId="165" fontId="0" fillId="0" borderId="0" xfId="0" applyNumberFormat="1" applyProtection="1"/>
    <xf numFmtId="169" fontId="0" fillId="0" borderId="0" xfId="0" applyNumberFormat="1" applyProtection="1"/>
    <xf numFmtId="170" fontId="0" fillId="0" borderId="0" xfId="0" applyNumberFormat="1" applyFill="1" applyProtection="1"/>
    <xf numFmtId="167" fontId="0" fillId="0" borderId="0" xfId="0" applyNumberFormat="1" applyFill="1" applyProtection="1"/>
    <xf numFmtId="2" fontId="0" fillId="0" borderId="0" xfId="0" applyNumberFormat="1" applyFill="1" applyProtection="1"/>
    <xf numFmtId="0" fontId="1" fillId="0" borderId="0" xfId="0" applyFont="1" applyProtection="1"/>
    <xf numFmtId="0" fontId="0" fillId="0" borderId="0" xfId="0" applyProtection="1"/>
    <xf numFmtId="49" fontId="0" fillId="0" borderId="0" xfId="0" applyNumberFormat="1" applyAlignment="1" applyProtection="1">
      <alignment horizontal="center" vertical="center"/>
    </xf>
    <xf numFmtId="0" fontId="0" fillId="0" borderId="0" xfId="0" applyFill="1" applyAlignment="1" applyProtection="1">
      <alignment horizontal="right"/>
    </xf>
    <xf numFmtId="1" fontId="0" fillId="0" borderId="0" xfId="0" applyNumberFormat="1" applyFill="1" applyProtection="1"/>
    <xf numFmtId="164" fontId="0" fillId="0" borderId="0" xfId="0" applyNumberFormat="1" applyProtection="1"/>
    <xf numFmtId="0" fontId="0" fillId="0" borderId="0" xfId="0" applyAlignment="1" applyProtection="1">
      <alignment horizontal="left"/>
    </xf>
    <xf numFmtId="166" fontId="0" fillId="0" borderId="0" xfId="0" applyNumberFormat="1" applyProtection="1"/>
    <xf numFmtId="2" fontId="0" fillId="0" borderId="0" xfId="0" applyNumberFormat="1" applyProtection="1"/>
    <xf numFmtId="164" fontId="0" fillId="3" borderId="0" xfId="0" applyNumberFormat="1" applyFill="1" applyProtection="1"/>
    <xf numFmtId="165" fontId="0" fillId="3" borderId="0" xfId="0" applyNumberFormat="1" applyFill="1" applyProtection="1"/>
    <xf numFmtId="2" fontId="0" fillId="3" borderId="0" xfId="0" applyNumberFormat="1" applyFill="1" applyProtection="1"/>
    <xf numFmtId="0" fontId="4" fillId="0" borderId="0" xfId="1" applyProtection="1"/>
    <xf numFmtId="1" fontId="0" fillId="3" borderId="0" xfId="0" applyNumberFormat="1" applyFill="1" applyProtection="1"/>
    <xf numFmtId="0" fontId="5" fillId="0" borderId="0" xfId="0" applyFont="1" applyProtection="1"/>
    <xf numFmtId="0" fontId="0" fillId="0" borderId="1" xfId="0" applyBorder="1" applyProtection="1"/>
    <xf numFmtId="49" fontId="0" fillId="0" borderId="1" xfId="0" applyNumberFormat="1" applyBorder="1" applyAlignment="1" applyProtection="1">
      <alignment horizontal="center" vertical="center"/>
    </xf>
    <xf numFmtId="169" fontId="0" fillId="0" borderId="1" xfId="0" applyNumberFormat="1" applyBorder="1" applyProtection="1"/>
    <xf numFmtId="0" fontId="0" fillId="0" borderId="0" xfId="0" applyBorder="1" applyProtection="1"/>
    <xf numFmtId="49" fontId="0" fillId="0" borderId="0" xfId="0" applyNumberFormat="1" applyBorder="1" applyAlignment="1" applyProtection="1">
      <alignment horizontal="center" vertical="center"/>
    </xf>
    <xf numFmtId="0" fontId="0" fillId="0" borderId="0" xfId="0" applyFill="1" applyBorder="1" applyProtection="1"/>
    <xf numFmtId="165" fontId="0" fillId="0" borderId="0" xfId="0" applyNumberFormat="1" applyBorder="1" applyProtection="1"/>
    <xf numFmtId="164" fontId="0" fillId="3" borderId="0" xfId="0" applyNumberFormat="1" applyFill="1" applyBorder="1" applyProtection="1"/>
    <xf numFmtId="2" fontId="0" fillId="0" borderId="0" xfId="0" applyNumberFormat="1" applyBorder="1" applyProtection="1"/>
    <xf numFmtId="0" fontId="0" fillId="0" borderId="1" xfId="0" applyFill="1" applyBorder="1" applyProtection="1"/>
    <xf numFmtId="2" fontId="0" fillId="3" borderId="1" xfId="0" applyNumberFormat="1" applyFill="1" applyBorder="1" applyProtection="1"/>
    <xf numFmtId="165" fontId="0" fillId="0" borderId="1" xfId="0" applyNumberFormat="1" applyBorder="1" applyProtection="1"/>
    <xf numFmtId="165" fontId="5" fillId="0" borderId="0" xfId="0" applyNumberFormat="1" applyFont="1" applyAlignment="1" applyProtection="1">
      <alignment horizontal="center"/>
    </xf>
    <xf numFmtId="165" fontId="0" fillId="0" borderId="0" xfId="0" applyNumberFormat="1" applyFill="1" applyProtection="1"/>
    <xf numFmtId="164" fontId="0" fillId="2" borderId="1" xfId="0" applyNumberFormat="1" applyFill="1" applyBorder="1" applyProtection="1">
      <protection locked="0"/>
    </xf>
    <xf numFmtId="1" fontId="0" fillId="2" borderId="0" xfId="0" applyNumberForma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2" fontId="0" fillId="2" borderId="0" xfId="0" applyNumberFormat="1" applyFill="1" applyProtection="1">
      <protection locked="0"/>
    </xf>
    <xf numFmtId="2" fontId="0" fillId="0" borderId="0" xfId="0" applyNumberFormat="1" applyFill="1" applyBorder="1" applyProtection="1"/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9" name="U-Turn Arrow 8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10" name="U-Turn Arrow 9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11" name="U-Turn Arrow 10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6" name="U-Turn Arrow 5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5" name="U-Turn Arrow 4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23</xdr:row>
      <xdr:rowOff>61913</xdr:rowOff>
    </xdr:from>
    <xdr:to>
      <xdr:col>3</xdr:col>
      <xdr:colOff>233363</xdr:colOff>
      <xdr:row>24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26</xdr:row>
      <xdr:rowOff>66676</xdr:rowOff>
    </xdr:from>
    <xdr:to>
      <xdr:col>3</xdr:col>
      <xdr:colOff>247650</xdr:colOff>
      <xdr:row>27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23</xdr:row>
      <xdr:rowOff>66675</xdr:rowOff>
    </xdr:from>
    <xdr:to>
      <xdr:col>3</xdr:col>
      <xdr:colOff>228600</xdr:colOff>
      <xdr:row>25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9</xdr:row>
      <xdr:rowOff>66676</xdr:rowOff>
    </xdr:from>
    <xdr:to>
      <xdr:col>3</xdr:col>
      <xdr:colOff>247650</xdr:colOff>
      <xdr:row>10</xdr:row>
      <xdr:rowOff>152401</xdr:rowOff>
    </xdr:to>
    <xdr:sp macro="" textlink="">
      <xdr:nvSpPr>
        <xdr:cNvPr id="6" name="U-Turn Arrow 5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15</xdr:row>
      <xdr:rowOff>66676</xdr:rowOff>
    </xdr:from>
    <xdr:to>
      <xdr:col>3</xdr:col>
      <xdr:colOff>247650</xdr:colOff>
      <xdr:row>16</xdr:row>
      <xdr:rowOff>152401</xdr:rowOff>
    </xdr:to>
    <xdr:sp macro="" textlink="">
      <xdr:nvSpPr>
        <xdr:cNvPr id="8" name="U-Turn Arrow 7"/>
        <xdr:cNvSpPr/>
      </xdr:nvSpPr>
      <xdr:spPr>
        <a:xfrm rot="5400000">
          <a:off x="4462462" y="1814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24</xdr:row>
      <xdr:rowOff>61913</xdr:rowOff>
    </xdr:from>
    <xdr:to>
      <xdr:col>3</xdr:col>
      <xdr:colOff>233363</xdr:colOff>
      <xdr:row>25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3524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27</xdr:row>
      <xdr:rowOff>66676</xdr:rowOff>
    </xdr:from>
    <xdr:to>
      <xdr:col>3</xdr:col>
      <xdr:colOff>247650</xdr:colOff>
      <xdr:row>28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4100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24</xdr:row>
      <xdr:rowOff>66675</xdr:rowOff>
    </xdr:from>
    <xdr:to>
      <xdr:col>3</xdr:col>
      <xdr:colOff>228600</xdr:colOff>
      <xdr:row>26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3629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8</xdr:row>
      <xdr:rowOff>66676</xdr:rowOff>
    </xdr:from>
    <xdr:to>
      <xdr:col>3</xdr:col>
      <xdr:colOff>247650</xdr:colOff>
      <xdr:row>9</xdr:row>
      <xdr:rowOff>152401</xdr:rowOff>
    </xdr:to>
    <xdr:sp macro="" textlink="">
      <xdr:nvSpPr>
        <xdr:cNvPr id="6" name="U-Turn Arrow 5"/>
        <xdr:cNvSpPr/>
      </xdr:nvSpPr>
      <xdr:spPr>
        <a:xfrm rot="5400000">
          <a:off x="4462462" y="1814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15</xdr:row>
      <xdr:rowOff>66676</xdr:rowOff>
    </xdr:from>
    <xdr:to>
      <xdr:col>3</xdr:col>
      <xdr:colOff>247650</xdr:colOff>
      <xdr:row>16</xdr:row>
      <xdr:rowOff>152401</xdr:rowOff>
    </xdr:to>
    <xdr:sp macro="" textlink="">
      <xdr:nvSpPr>
        <xdr:cNvPr id="8" name="U-Turn Arrow 7"/>
        <xdr:cNvSpPr/>
      </xdr:nvSpPr>
      <xdr:spPr>
        <a:xfrm rot="5400000">
          <a:off x="4471987" y="16240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ukhas/cusf-burst-calc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/index.php?title=Cubic_function&amp;section=23" TargetMode="External"/><Relationship Id="rId2" Type="http://schemas.openxmlformats.org/officeDocument/2006/relationships/hyperlink" Target="https://github.com/ukhas/cusf-burst-calc" TargetMode="External"/><Relationship Id="rId1" Type="http://schemas.openxmlformats.org/officeDocument/2006/relationships/hyperlink" Target="https://en.wikipedia.org/w/index.php?title=Cubic_function&amp;section=23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/index.php?title=Cubic_function&amp;section=23" TargetMode="External"/><Relationship Id="rId2" Type="http://schemas.openxmlformats.org/officeDocument/2006/relationships/hyperlink" Target="https://github.com/ukhas/cusf-burst-calc" TargetMode="External"/><Relationship Id="rId1" Type="http://schemas.openxmlformats.org/officeDocument/2006/relationships/hyperlink" Target="https://en.wikipedia.org/w/index.php?title=Cubic_function&amp;section=23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6"/>
  <sheetViews>
    <sheetView tabSelected="1" workbookViewId="0">
      <selection activeCell="A4" sqref="A4"/>
    </sheetView>
  </sheetViews>
  <sheetFormatPr defaultRowHeight="15" x14ac:dyDescent="0.25"/>
  <cols>
    <col min="1" max="1" width="41.5703125" customWidth="1"/>
    <col min="3" max="3" width="13.140625" customWidth="1"/>
    <col min="4" max="4" width="4" customWidth="1"/>
    <col min="5" max="5" width="74.28515625" customWidth="1"/>
  </cols>
  <sheetData>
    <row r="1" spans="1:5" x14ac:dyDescent="0.25">
      <c r="A1" s="25" t="s">
        <v>0</v>
      </c>
      <c r="B1" s="26"/>
      <c r="C1" s="26"/>
      <c r="D1" s="26"/>
      <c r="E1" s="26" t="s">
        <v>103</v>
      </c>
    </row>
    <row r="2" spans="1:5" x14ac:dyDescent="0.25">
      <c r="A2" s="25" t="s">
        <v>1</v>
      </c>
      <c r="B2" s="26"/>
      <c r="C2" s="26"/>
      <c r="D2" s="26"/>
      <c r="E2" s="37" t="s">
        <v>102</v>
      </c>
    </row>
    <row r="3" spans="1:5" x14ac:dyDescent="0.25">
      <c r="A3" s="25"/>
      <c r="B3" s="26"/>
      <c r="C3" s="26"/>
      <c r="D3" s="26"/>
      <c r="E3" s="26"/>
    </row>
    <row r="4" spans="1:5" x14ac:dyDescent="0.25">
      <c r="A4" s="25"/>
      <c r="B4" s="27" t="s">
        <v>44</v>
      </c>
      <c r="C4" s="26"/>
      <c r="D4" s="26"/>
      <c r="E4" s="26" t="s">
        <v>64</v>
      </c>
    </row>
    <row r="5" spans="1:5" x14ac:dyDescent="0.25">
      <c r="A5" s="26"/>
      <c r="B5" s="27"/>
      <c r="C5" s="26"/>
      <c r="D5" s="26"/>
      <c r="E5" s="26"/>
    </row>
    <row r="6" spans="1:5" x14ac:dyDescent="0.25">
      <c r="A6" s="26" t="s">
        <v>38</v>
      </c>
      <c r="B6" s="27"/>
      <c r="C6" s="15" t="s">
        <v>14</v>
      </c>
      <c r="D6" s="28"/>
      <c r="E6" s="26"/>
    </row>
    <row r="7" spans="1:5" x14ac:dyDescent="0.25">
      <c r="A7" s="26" t="s">
        <v>42</v>
      </c>
      <c r="B7" s="27" t="s">
        <v>43</v>
      </c>
      <c r="C7" s="13">
        <f>VLOOKUP(C6,Balloon_Data!A5:D39,2,FALSE)</f>
        <v>1500</v>
      </c>
      <c r="D7" s="29"/>
      <c r="E7" s="26"/>
    </row>
    <row r="8" spans="1:5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5" x14ac:dyDescent="0.25">
      <c r="A9" s="26" t="s">
        <v>178</v>
      </c>
      <c r="B9" s="27"/>
      <c r="C9" s="57">
        <v>0.35</v>
      </c>
      <c r="D9" s="29"/>
      <c r="E9" s="26" t="s">
        <v>180</v>
      </c>
    </row>
    <row r="10" spans="1:5" x14ac:dyDescent="0.25">
      <c r="A10" s="26" t="s">
        <v>45</v>
      </c>
      <c r="B10" s="27" t="s">
        <v>43</v>
      </c>
      <c r="C10" s="16">
        <v>54</v>
      </c>
      <c r="D10" s="19"/>
      <c r="E10" s="26"/>
    </row>
    <row r="11" spans="1:5" x14ac:dyDescent="0.25">
      <c r="A11" s="26" t="s">
        <v>46</v>
      </c>
      <c r="B11" s="27" t="s">
        <v>43</v>
      </c>
      <c r="C11" s="30">
        <f>C7+C10</f>
        <v>1554</v>
      </c>
      <c r="D11" s="19"/>
      <c r="E11" s="26"/>
    </row>
    <row r="12" spans="1:5" x14ac:dyDescent="0.25">
      <c r="A12" s="26" t="s">
        <v>47</v>
      </c>
      <c r="B12" s="27" t="s">
        <v>43</v>
      </c>
      <c r="C12" s="16">
        <v>1775</v>
      </c>
      <c r="D12" s="19"/>
      <c r="E12" s="26"/>
    </row>
    <row r="13" spans="1:5" x14ac:dyDescent="0.25">
      <c r="A13" s="26" t="s">
        <v>49</v>
      </c>
      <c r="B13" s="27"/>
      <c r="C13" s="15" t="s">
        <v>50</v>
      </c>
      <c r="D13" s="28"/>
      <c r="E13" s="26"/>
    </row>
    <row r="14" spans="1:5" x14ac:dyDescent="0.25">
      <c r="A14" s="26" t="s">
        <v>56</v>
      </c>
      <c r="B14" s="27" t="s">
        <v>57</v>
      </c>
      <c r="C14" s="17">
        <v>700</v>
      </c>
      <c r="D14" s="29"/>
      <c r="E14" s="26"/>
    </row>
    <row r="15" spans="1:5" x14ac:dyDescent="0.25">
      <c r="A15" s="26" t="s">
        <v>59</v>
      </c>
      <c r="B15" s="27" t="s">
        <v>58</v>
      </c>
      <c r="C15" s="30">
        <f>atmospheric_temperature(C14)</f>
        <v>10.497</v>
      </c>
      <c r="D15" s="30"/>
      <c r="E15" s="26"/>
    </row>
    <row r="16" spans="1:5" x14ac:dyDescent="0.25">
      <c r="A16" s="26" t="s">
        <v>67</v>
      </c>
      <c r="B16" s="27" t="s">
        <v>58</v>
      </c>
      <c r="C16" s="16">
        <v>22</v>
      </c>
      <c r="D16" s="30"/>
      <c r="E16" s="31" t="s">
        <v>65</v>
      </c>
    </row>
    <row r="17" spans="1:5" x14ac:dyDescent="0.25">
      <c r="A17" s="26" t="s">
        <v>68</v>
      </c>
      <c r="B17" s="27" t="s">
        <v>58</v>
      </c>
      <c r="C17" s="16">
        <v>22</v>
      </c>
      <c r="D17" s="26"/>
      <c r="E17" s="31" t="s">
        <v>65</v>
      </c>
    </row>
    <row r="18" spans="1:5" x14ac:dyDescent="0.25">
      <c r="A18" s="26" t="s">
        <v>60</v>
      </c>
      <c r="B18" s="27" t="s">
        <v>62</v>
      </c>
      <c r="C18" s="30">
        <f>Atmospheric_Pressure(C14)</f>
        <v>93.275042041811972</v>
      </c>
      <c r="D18" s="30"/>
      <c r="E18" s="26"/>
    </row>
    <row r="19" spans="1:5" x14ac:dyDescent="0.25">
      <c r="A19" s="26" t="s">
        <v>69</v>
      </c>
      <c r="B19" s="27" t="s">
        <v>62</v>
      </c>
      <c r="C19" s="16">
        <v>93.6</v>
      </c>
      <c r="D19" s="26"/>
      <c r="E19" s="31" t="s">
        <v>66</v>
      </c>
    </row>
    <row r="20" spans="1:5" ht="17.25" x14ac:dyDescent="0.25">
      <c r="A20" s="26" t="s">
        <v>61</v>
      </c>
      <c r="B20" s="27" t="s">
        <v>63</v>
      </c>
      <c r="C20" s="20">
        <f>Atmospheric_Density(C14)</f>
        <v>1.1463923328761279</v>
      </c>
      <c r="D20" s="20"/>
      <c r="E20" s="26"/>
    </row>
    <row r="21" spans="1:5" ht="17.25" x14ac:dyDescent="0.25">
      <c r="A21" s="26" t="s">
        <v>70</v>
      </c>
      <c r="B21" s="27" t="s">
        <v>63</v>
      </c>
      <c r="C21" s="20">
        <f>C19/(0.2869*(C16+Constants!B3))</f>
        <v>1.1055441503662882</v>
      </c>
      <c r="D21" s="26"/>
      <c r="E21" s="26"/>
    </row>
    <row r="22" spans="1:5" x14ac:dyDescent="0.25">
      <c r="A22" s="26" t="s">
        <v>181</v>
      </c>
      <c r="B22" s="27" t="s">
        <v>62</v>
      </c>
      <c r="C22" s="56">
        <v>0.15</v>
      </c>
      <c r="D22" s="26"/>
      <c r="E22" s="26" t="s">
        <v>183</v>
      </c>
    </row>
    <row r="23" spans="1:5" x14ac:dyDescent="0.25">
      <c r="A23" s="26" t="s">
        <v>182</v>
      </c>
      <c r="B23" s="27" t="s">
        <v>62</v>
      </c>
      <c r="C23" s="56">
        <v>0</v>
      </c>
      <c r="D23" s="26"/>
      <c r="E23" s="26" t="s">
        <v>186</v>
      </c>
    </row>
    <row r="24" spans="1:5" x14ac:dyDescent="0.25">
      <c r="A24" s="26" t="s">
        <v>113</v>
      </c>
      <c r="B24" s="27" t="s">
        <v>76</v>
      </c>
      <c r="C24" s="32">
        <f>VLOOKUP(C13,Gas!A5:E6,3,FALSE)</f>
        <v>4.0026020000000001E-3</v>
      </c>
      <c r="D24" s="26"/>
      <c r="E24" s="26"/>
    </row>
    <row r="25" spans="1:5" ht="17.25" x14ac:dyDescent="0.25">
      <c r="A25" s="26" t="s">
        <v>71</v>
      </c>
      <c r="B25" s="27" t="s">
        <v>63</v>
      </c>
      <c r="C25" s="21">
        <f>((C19+C22)*1000)*C24/(Constants!B5*(C17+Constants!B3))</f>
        <v>0.15293625000259006</v>
      </c>
      <c r="D25" s="26"/>
      <c r="E25" s="26"/>
    </row>
    <row r="26" spans="1:5" x14ac:dyDescent="0.25">
      <c r="A26" s="26" t="s">
        <v>77</v>
      </c>
      <c r="B26" s="27" t="s">
        <v>57</v>
      </c>
      <c r="C26" s="17">
        <v>32080</v>
      </c>
      <c r="D26" s="26"/>
      <c r="E26" s="26"/>
    </row>
    <row r="27" spans="1:5" x14ac:dyDescent="0.25">
      <c r="A27" s="26" t="s">
        <v>78</v>
      </c>
      <c r="B27" s="27" t="s">
        <v>57</v>
      </c>
      <c r="C27" s="33">
        <f>VLOOKUP(C6,Balloon_Data!A5:D39,3,FALSE)</f>
        <v>9.44</v>
      </c>
      <c r="D27" s="26"/>
      <c r="E27" s="26"/>
    </row>
    <row r="28" spans="1:5" ht="17.25" x14ac:dyDescent="0.25">
      <c r="A28" s="26" t="s">
        <v>85</v>
      </c>
      <c r="B28" s="27" t="s">
        <v>80</v>
      </c>
      <c r="C28" s="20">
        <f>PI()*POWER(C27/2,3)*4/3</f>
        <v>440.4682462560379</v>
      </c>
      <c r="D28" s="26"/>
      <c r="E28" s="26"/>
    </row>
    <row r="29" spans="1:5" ht="17.25" x14ac:dyDescent="0.25">
      <c r="A29" s="26" t="s">
        <v>83</v>
      </c>
      <c r="B29" s="27" t="s">
        <v>58</v>
      </c>
      <c r="C29" s="30">
        <f>atmospheric_temperature(C26)</f>
        <v>-35.290800000000004</v>
      </c>
      <c r="D29" s="26"/>
      <c r="E29" s="26"/>
    </row>
    <row r="30" spans="1:5" ht="17.25" x14ac:dyDescent="0.25">
      <c r="A30" s="26" t="s">
        <v>82</v>
      </c>
      <c r="B30" s="27" t="s">
        <v>62</v>
      </c>
      <c r="C30" s="20">
        <f>Atmospheric_Pressure(C26)</f>
        <v>0.85869106218006674</v>
      </c>
      <c r="D30" s="26"/>
      <c r="E30" s="26"/>
    </row>
    <row r="31" spans="1:5" ht="17.25" x14ac:dyDescent="0.25">
      <c r="A31" s="26" t="s">
        <v>97</v>
      </c>
      <c r="B31" s="27" t="s">
        <v>63</v>
      </c>
      <c r="C31" s="20">
        <f>Atmospheric_Density(C26)</f>
        <v>1.2585710632121381E-2</v>
      </c>
      <c r="D31" s="26"/>
      <c r="E31" s="26"/>
    </row>
    <row r="32" spans="1:5" x14ac:dyDescent="0.25">
      <c r="A32" s="26" t="s">
        <v>84</v>
      </c>
      <c r="B32" s="27" t="s">
        <v>81</v>
      </c>
      <c r="C32" s="30">
        <f>((C30+C23)*1000)*C28/(Constants!B5*(C29+Constants!B3))</f>
        <v>191.2884983635048</v>
      </c>
      <c r="D32" s="26"/>
      <c r="E32" s="26"/>
    </row>
    <row r="33" spans="1:5" ht="17.25" x14ac:dyDescent="0.25">
      <c r="A33" s="26" t="s">
        <v>79</v>
      </c>
      <c r="B33" s="27" t="s">
        <v>80</v>
      </c>
      <c r="C33" s="20">
        <f>C32*Constants!B5*(C17+Constants!B3)/((C19+C22)*1000)</f>
        <v>5.0063456251463876</v>
      </c>
      <c r="D33" s="26"/>
      <c r="E33" s="26"/>
    </row>
    <row r="34" spans="1:5" x14ac:dyDescent="0.25">
      <c r="A34" s="26" t="s">
        <v>87</v>
      </c>
      <c r="B34" s="27" t="s">
        <v>86</v>
      </c>
      <c r="C34" s="34">
        <f>C33*1000</f>
        <v>5006.3456251463876</v>
      </c>
      <c r="D34" s="26"/>
      <c r="E34" s="26"/>
    </row>
    <row r="35" spans="1:5" x14ac:dyDescent="0.25">
      <c r="A35" s="26" t="s">
        <v>88</v>
      </c>
      <c r="B35" s="27" t="s">
        <v>57</v>
      </c>
      <c r="C35" s="20">
        <f>2*POWER((C33*3/(4*PI())),(1/3))</f>
        <v>2.1224659685135814</v>
      </c>
      <c r="D35" s="26"/>
      <c r="E35" s="26"/>
    </row>
    <row r="36" spans="1:5" x14ac:dyDescent="0.25">
      <c r="A36" s="26" t="s">
        <v>89</v>
      </c>
      <c r="B36" s="27" t="s">
        <v>90</v>
      </c>
      <c r="C36" s="20">
        <f>(C21-C25)*PI()*POWER((C35/2),3)*4/3</f>
        <v>4.7690843944656871</v>
      </c>
      <c r="D36" s="26"/>
      <c r="E36" s="26"/>
    </row>
    <row r="37" spans="1:5" x14ac:dyDescent="0.25">
      <c r="A37" s="26" t="s">
        <v>91</v>
      </c>
      <c r="B37" s="27" t="s">
        <v>90</v>
      </c>
      <c r="C37" s="20">
        <f>C36-((C11+C12)/1000)</f>
        <v>1.4400843944656869</v>
      </c>
      <c r="D37" s="26"/>
      <c r="E37" s="26"/>
    </row>
    <row r="38" spans="1:5" x14ac:dyDescent="0.25">
      <c r="A38" s="26" t="s">
        <v>92</v>
      </c>
      <c r="B38" s="27" t="s">
        <v>90</v>
      </c>
      <c r="C38" s="35">
        <f>C36-(C11/1000)</f>
        <v>3.2150843944656868</v>
      </c>
      <c r="D38" s="26"/>
      <c r="E38" s="26"/>
    </row>
    <row r="39" spans="1:5" ht="17.25" x14ac:dyDescent="0.25">
      <c r="A39" s="26" t="s">
        <v>93</v>
      </c>
      <c r="B39" s="27" t="s">
        <v>94</v>
      </c>
      <c r="C39" s="20">
        <f>PI()*POWER((C35/2),2)</f>
        <v>3.538110174260507</v>
      </c>
      <c r="D39" s="26"/>
      <c r="E39" s="26"/>
    </row>
    <row r="40" spans="1:5" x14ac:dyDescent="0.25">
      <c r="A40" s="26" t="s">
        <v>95</v>
      </c>
      <c r="B40" s="27" t="s">
        <v>96</v>
      </c>
      <c r="C40" s="36">
        <f>POWER((2*C37*Constants!B4/(C21*C9*C39)),0.5)</f>
        <v>4.542232011722561</v>
      </c>
      <c r="D40" s="26"/>
      <c r="E40" s="26"/>
    </row>
    <row r="41" spans="1:5" x14ac:dyDescent="0.25">
      <c r="A41" s="26" t="s">
        <v>98</v>
      </c>
      <c r="B41" s="27" t="s">
        <v>99</v>
      </c>
      <c r="C41" s="36">
        <f>C26/C40/60</f>
        <v>117.71011812844492</v>
      </c>
      <c r="D41" s="26"/>
      <c r="E41" s="26"/>
    </row>
    <row r="42" spans="1:5" x14ac:dyDescent="0.25">
      <c r="A42" s="26"/>
      <c r="B42" s="27"/>
      <c r="C42" s="26"/>
      <c r="D42" s="26"/>
      <c r="E42" s="26"/>
    </row>
    <row r="43" spans="1:5" x14ac:dyDescent="0.25">
      <c r="B43" s="7"/>
    </row>
    <row r="44" spans="1:5" x14ac:dyDescent="0.25">
      <c r="B44" s="7"/>
    </row>
    <row r="45" spans="1:5" x14ac:dyDescent="0.25">
      <c r="B45" s="7"/>
    </row>
    <row r="46" spans="1:5" x14ac:dyDescent="0.25">
      <c r="B46" s="7"/>
    </row>
    <row r="47" spans="1:5" x14ac:dyDescent="0.25">
      <c r="B47" s="7"/>
    </row>
    <row r="48" spans="1:5" x14ac:dyDescent="0.25">
      <c r="B48" s="7"/>
    </row>
    <row r="49" spans="2:2" x14ac:dyDescent="0.25">
      <c r="B49" s="7"/>
    </row>
    <row r="50" spans="2:2" x14ac:dyDescent="0.25">
      <c r="B50" s="7"/>
    </row>
    <row r="51" spans="2:2" x14ac:dyDescent="0.25">
      <c r="B51" s="7"/>
    </row>
    <row r="52" spans="2:2" x14ac:dyDescent="0.25">
      <c r="B52" s="7"/>
    </row>
    <row r="53" spans="2:2" x14ac:dyDescent="0.25">
      <c r="B53" s="7"/>
    </row>
    <row r="54" spans="2:2" x14ac:dyDescent="0.25">
      <c r="B54" s="7"/>
    </row>
    <row r="55" spans="2:2" x14ac:dyDescent="0.25">
      <c r="B55" s="7"/>
    </row>
    <row r="56" spans="2:2" x14ac:dyDescent="0.25">
      <c r="B56" s="7"/>
    </row>
  </sheetData>
  <sheetProtection sheet="1" objects="1" scenarios="1"/>
  <hyperlinks>
    <hyperlink ref="E2" r:id="rId1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Balloon_Data!$A$5:$A$39</xm:f>
          </x14:formula1>
          <xm:sqref>C6:D6</xm:sqref>
        </x14:dataValidation>
        <x14:dataValidation type="list">
          <x14:formula1>
            <xm:f>Gas!$A$5:$A$6</xm:f>
          </x14:formula1>
          <xm:sqref>C13:D13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4"/>
  <sheetViews>
    <sheetView workbookViewId="0">
      <selection activeCell="A4" sqref="A4"/>
    </sheetView>
  </sheetViews>
  <sheetFormatPr defaultRowHeight="15" x14ac:dyDescent="0.25"/>
  <cols>
    <col min="1" max="1" width="41.570312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 t="s">
        <v>103</v>
      </c>
      <c r="F1" s="26"/>
    </row>
    <row r="2" spans="1:6" x14ac:dyDescent="0.25">
      <c r="A2" s="25" t="s">
        <v>114</v>
      </c>
      <c r="B2" s="26"/>
      <c r="C2" s="26"/>
      <c r="D2" s="26"/>
      <c r="E2" s="37" t="s">
        <v>102</v>
      </c>
      <c r="F2" s="26"/>
    </row>
    <row r="3" spans="1:6" x14ac:dyDescent="0.25">
      <c r="A3" s="25"/>
      <c r="B3" s="26"/>
      <c r="C3" s="26"/>
      <c r="D3" s="26"/>
      <c r="E3" s="26"/>
      <c r="F3" s="26"/>
    </row>
    <row r="4" spans="1:6" x14ac:dyDescent="0.25">
      <c r="A4" s="25"/>
      <c r="B4" s="27" t="s">
        <v>44</v>
      </c>
      <c r="C4" s="26"/>
      <c r="D4" s="26"/>
      <c r="E4" s="26" t="s">
        <v>64</v>
      </c>
      <c r="F4" s="26"/>
    </row>
    <row r="5" spans="1:6" x14ac:dyDescent="0.25">
      <c r="A5" s="26"/>
      <c r="B5" s="27"/>
      <c r="C5" s="26"/>
      <c r="D5" s="26"/>
      <c r="E5" s="26"/>
      <c r="F5" s="26"/>
    </row>
    <row r="6" spans="1:6" x14ac:dyDescent="0.25">
      <c r="A6" s="26" t="s">
        <v>38</v>
      </c>
      <c r="B6" s="27"/>
      <c r="C6" s="15" t="s">
        <v>14</v>
      </c>
      <c r="D6" s="28"/>
      <c r="E6" s="26"/>
      <c r="F6" s="26"/>
    </row>
    <row r="7" spans="1:6" x14ac:dyDescent="0.25">
      <c r="A7" s="26" t="s">
        <v>42</v>
      </c>
      <c r="B7" s="27" t="s">
        <v>43</v>
      </c>
      <c r="C7" s="13">
        <f>VLOOKUP(C6,Balloon_Data!A5:D39,2,FALSE)</f>
        <v>1500</v>
      </c>
      <c r="D7" s="29"/>
      <c r="E7" s="26"/>
      <c r="F7" s="26"/>
    </row>
    <row r="8" spans="1:6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6" x14ac:dyDescent="0.25">
      <c r="A9" s="26" t="s">
        <v>178</v>
      </c>
      <c r="B9" s="27"/>
      <c r="C9" s="57">
        <v>0.35</v>
      </c>
      <c r="D9" s="29"/>
      <c r="E9" s="26" t="s">
        <v>180</v>
      </c>
    </row>
    <row r="10" spans="1:6" x14ac:dyDescent="0.25">
      <c r="A10" s="26" t="s">
        <v>45</v>
      </c>
      <c r="B10" s="27" t="s">
        <v>43</v>
      </c>
      <c r="C10" s="16">
        <v>54</v>
      </c>
      <c r="D10" s="19"/>
      <c r="E10" s="26"/>
      <c r="F10" s="26"/>
    </row>
    <row r="11" spans="1:6" x14ac:dyDescent="0.25">
      <c r="A11" s="26" t="s">
        <v>46</v>
      </c>
      <c r="B11" s="27" t="s">
        <v>43</v>
      </c>
      <c r="C11" s="30">
        <f>C7+C10</f>
        <v>1554</v>
      </c>
      <c r="D11" s="19"/>
      <c r="E11" s="26"/>
      <c r="F11" s="26"/>
    </row>
    <row r="12" spans="1:6" x14ac:dyDescent="0.25">
      <c r="A12" s="26" t="s">
        <v>47</v>
      </c>
      <c r="B12" s="27" t="s">
        <v>43</v>
      </c>
      <c r="C12" s="16">
        <v>1775</v>
      </c>
      <c r="D12" s="19"/>
      <c r="E12" s="26"/>
      <c r="F12" s="26"/>
    </row>
    <row r="13" spans="1:6" x14ac:dyDescent="0.25">
      <c r="A13" s="26" t="s">
        <v>49</v>
      </c>
      <c r="B13" s="27"/>
      <c r="C13" s="15" t="s">
        <v>50</v>
      </c>
      <c r="D13" s="28"/>
      <c r="E13" s="26"/>
      <c r="F13" s="26"/>
    </row>
    <row r="14" spans="1:6" x14ac:dyDescent="0.25">
      <c r="A14" s="26" t="s">
        <v>56</v>
      </c>
      <c r="B14" s="27" t="s">
        <v>57</v>
      </c>
      <c r="C14" s="17">
        <v>700</v>
      </c>
      <c r="D14" s="29"/>
      <c r="E14" s="26"/>
      <c r="F14" s="26"/>
    </row>
    <row r="15" spans="1:6" x14ac:dyDescent="0.25">
      <c r="A15" s="26" t="s">
        <v>59</v>
      </c>
      <c r="B15" s="27" t="s">
        <v>58</v>
      </c>
      <c r="C15" s="30">
        <f>atmospheric_temperature(C14)</f>
        <v>10.497</v>
      </c>
      <c r="D15" s="30"/>
      <c r="E15" s="26"/>
      <c r="F15" s="26"/>
    </row>
    <row r="16" spans="1:6" x14ac:dyDescent="0.25">
      <c r="A16" s="26" t="s">
        <v>67</v>
      </c>
      <c r="B16" s="27" t="s">
        <v>58</v>
      </c>
      <c r="C16" s="16">
        <v>22</v>
      </c>
      <c r="D16" s="30"/>
      <c r="E16" s="31" t="s">
        <v>65</v>
      </c>
      <c r="F16" s="26"/>
    </row>
    <row r="17" spans="1:6" x14ac:dyDescent="0.25">
      <c r="A17" s="26" t="s">
        <v>68</v>
      </c>
      <c r="B17" s="27" t="s">
        <v>58</v>
      </c>
      <c r="C17" s="16">
        <v>22</v>
      </c>
      <c r="D17" s="26"/>
      <c r="E17" s="31" t="s">
        <v>65</v>
      </c>
      <c r="F17" s="26"/>
    </row>
    <row r="18" spans="1:6" x14ac:dyDescent="0.25">
      <c r="A18" s="26" t="s">
        <v>60</v>
      </c>
      <c r="B18" s="27" t="s">
        <v>62</v>
      </c>
      <c r="C18" s="30">
        <f>Atmospheric_Pressure(C14)</f>
        <v>93.275042041811972</v>
      </c>
      <c r="D18" s="30"/>
      <c r="E18" s="26"/>
      <c r="F18" s="26"/>
    </row>
    <row r="19" spans="1:6" x14ac:dyDescent="0.25">
      <c r="A19" s="26" t="s">
        <v>69</v>
      </c>
      <c r="B19" s="27" t="s">
        <v>62</v>
      </c>
      <c r="C19" s="16">
        <v>93.6</v>
      </c>
      <c r="D19" s="26"/>
      <c r="E19" s="31" t="s">
        <v>66</v>
      </c>
      <c r="F19" s="26"/>
    </row>
    <row r="20" spans="1:6" ht="17.25" x14ac:dyDescent="0.25">
      <c r="A20" s="26" t="s">
        <v>61</v>
      </c>
      <c r="B20" s="27" t="s">
        <v>63</v>
      </c>
      <c r="C20" s="20">
        <f>Atmospheric_Density(C14)</f>
        <v>1.1463923328761279</v>
      </c>
      <c r="D20" s="20"/>
      <c r="E20" s="26"/>
      <c r="F20" s="26"/>
    </row>
    <row r="21" spans="1:6" ht="17.25" x14ac:dyDescent="0.25">
      <c r="A21" s="26" t="s">
        <v>70</v>
      </c>
      <c r="B21" s="27" t="s">
        <v>63</v>
      </c>
      <c r="C21" s="20">
        <f>C19/(0.2869*(C16+Constants!B3))</f>
        <v>1.1055441503662882</v>
      </c>
      <c r="D21" s="26"/>
      <c r="E21" s="26"/>
      <c r="F21" s="26"/>
    </row>
    <row r="22" spans="1:6" x14ac:dyDescent="0.25">
      <c r="A22" s="26" t="s">
        <v>181</v>
      </c>
      <c r="B22" s="27" t="s">
        <v>62</v>
      </c>
      <c r="C22" s="56">
        <v>0.15</v>
      </c>
      <c r="D22" s="26"/>
      <c r="E22" s="26" t="s">
        <v>183</v>
      </c>
      <c r="F22" s="26"/>
    </row>
    <row r="23" spans="1:6" x14ac:dyDescent="0.25">
      <c r="A23" s="26" t="s">
        <v>182</v>
      </c>
      <c r="B23" s="27" t="s">
        <v>62</v>
      </c>
      <c r="C23" s="56">
        <v>0</v>
      </c>
      <c r="D23" s="26"/>
      <c r="E23" s="26" t="s">
        <v>186</v>
      </c>
    </row>
    <row r="24" spans="1:6" x14ac:dyDescent="0.25">
      <c r="A24" s="26" t="s">
        <v>113</v>
      </c>
      <c r="B24" s="27" t="s">
        <v>76</v>
      </c>
      <c r="C24" s="32">
        <f>VLOOKUP(C13,Gas!A5:E6,3,FALSE)</f>
        <v>4.0026020000000001E-3</v>
      </c>
      <c r="D24" s="26"/>
      <c r="E24" s="26"/>
      <c r="F24" s="26"/>
    </row>
    <row r="25" spans="1:6" ht="17.25" x14ac:dyDescent="0.25">
      <c r="A25" s="26" t="s">
        <v>71</v>
      </c>
      <c r="B25" s="27" t="s">
        <v>63</v>
      </c>
      <c r="C25" s="21">
        <f>((C19+C22)*1000)*C24/(Constants!B5*(C17+Constants!B3))</f>
        <v>0.15293625000259006</v>
      </c>
      <c r="D25" s="26"/>
      <c r="E25" s="26"/>
      <c r="F25" s="26"/>
    </row>
    <row r="26" spans="1:6" x14ac:dyDescent="0.25">
      <c r="A26" s="26" t="s">
        <v>100</v>
      </c>
      <c r="B26" s="27" t="s">
        <v>96</v>
      </c>
      <c r="C26" s="16">
        <v>4.54</v>
      </c>
      <c r="D26" s="26"/>
      <c r="E26" s="26"/>
      <c r="F26" s="26"/>
    </row>
    <row r="27" spans="1:6" x14ac:dyDescent="0.25">
      <c r="A27" s="26" t="s">
        <v>105</v>
      </c>
      <c r="B27" s="27"/>
      <c r="C27" s="18">
        <f>Constants!B4*(4/3) * PI() * (C21-C25)</f>
        <v>39.132623414541094</v>
      </c>
      <c r="D27" s="26"/>
      <c r="E27" s="37" t="s">
        <v>101</v>
      </c>
      <c r="F27" s="26"/>
    </row>
    <row r="28" spans="1:6" x14ac:dyDescent="0.25">
      <c r="A28" s="26" t="s">
        <v>106</v>
      </c>
      <c r="B28" s="27"/>
      <c r="C28" s="18">
        <f>(-0.5)*C21*C9*POWER(C26,2)*PI()</f>
        <v>-12.52782615238414</v>
      </c>
      <c r="D28" s="26"/>
      <c r="E28" s="37" t="s">
        <v>104</v>
      </c>
      <c r="F28" s="26"/>
    </row>
    <row r="29" spans="1:6" x14ac:dyDescent="0.25">
      <c r="A29" s="26" t="s">
        <v>58</v>
      </c>
      <c r="B29" s="27"/>
      <c r="C29" s="19">
        <v>0</v>
      </c>
      <c r="D29" s="26"/>
      <c r="E29" s="26"/>
      <c r="F29" s="26"/>
    </row>
    <row r="30" spans="1:6" x14ac:dyDescent="0.25">
      <c r="A30" s="26" t="s">
        <v>107</v>
      </c>
      <c r="B30" s="27"/>
      <c r="C30" s="18">
        <f>(-1)*Constants!B4*((C11+C12)/1000)</f>
        <v>-32.647503</v>
      </c>
      <c r="D30" s="26"/>
      <c r="E30" s="26"/>
      <c r="F30" s="26"/>
    </row>
    <row r="31" spans="1:6" x14ac:dyDescent="0.25">
      <c r="A31" s="26" t="s">
        <v>108</v>
      </c>
      <c r="B31" s="27"/>
      <c r="C31" s="22">
        <f>((3*C27*C29)-POWER(C28,2))/(3*POWER(C27,2))</f>
        <v>-3.4162705277661111E-2</v>
      </c>
      <c r="D31" s="26"/>
      <c r="E31" s="26"/>
      <c r="F31" s="26"/>
    </row>
    <row r="32" spans="1:6" x14ac:dyDescent="0.25">
      <c r="A32" s="26" t="s">
        <v>109</v>
      </c>
      <c r="B32" s="27"/>
      <c r="C32" s="19">
        <f>(2*POWER(C28,3)-(9*C27*C28*C29)+(27*POWER(C27,2)*C30))/(27*POWER(C27,3))</f>
        <v>-0.83670880699312533</v>
      </c>
      <c r="D32" s="26"/>
      <c r="E32" s="26"/>
      <c r="F32" s="26"/>
    </row>
    <row r="33" spans="1:6" x14ac:dyDescent="0.25">
      <c r="A33" s="26" t="s">
        <v>110</v>
      </c>
      <c r="B33" s="27"/>
      <c r="C33" s="19">
        <f>(POWER(C32,2)/4)+(POWER(C31,3)/27)</f>
        <v>0.17501893022250339</v>
      </c>
      <c r="D33" s="26"/>
      <c r="E33" s="26"/>
      <c r="F33" s="26"/>
    </row>
    <row r="34" spans="1:6" x14ac:dyDescent="0.25">
      <c r="A34" s="26" t="s">
        <v>111</v>
      </c>
      <c r="B34" s="27"/>
      <c r="C34" s="23">
        <f>POWER((((0-C32)/2)+POWER(C33,0.5)),(1/3))</f>
        <v>0.94230423159733578</v>
      </c>
      <c r="D34" s="26"/>
      <c r="E34" s="26"/>
      <c r="F34" s="26"/>
    </row>
    <row r="35" spans="1:6" x14ac:dyDescent="0.25">
      <c r="A35" s="26" t="s">
        <v>112</v>
      </c>
      <c r="B35" s="27"/>
      <c r="C35" s="23">
        <f>POWER((((0-C32)/2)-POWER(C33,0.5)),(1/3))</f>
        <v>1.2084810875348467E-2</v>
      </c>
      <c r="D35" s="26"/>
      <c r="E35" s="26"/>
      <c r="F35" s="26"/>
    </row>
    <row r="36" spans="1:6" x14ac:dyDescent="0.25">
      <c r="A36" s="26" t="s">
        <v>88</v>
      </c>
      <c r="B36" s="27" t="s">
        <v>57</v>
      </c>
      <c r="C36" s="24">
        <f>2*((C34+C35)-(C28/(3*C27)))</f>
        <v>2.1222031858673271</v>
      </c>
      <c r="D36" s="26"/>
      <c r="E36" s="26"/>
      <c r="F36" s="26"/>
    </row>
    <row r="37" spans="1:6" x14ac:dyDescent="0.25">
      <c r="A37" s="26" t="s">
        <v>89</v>
      </c>
      <c r="B37" s="27" t="s">
        <v>90</v>
      </c>
      <c r="C37" s="20">
        <f>(C21-C25)*PI()*POWER((C36/2),3)*4/3</f>
        <v>4.7673132318469635</v>
      </c>
      <c r="D37" s="26"/>
      <c r="E37" s="26"/>
      <c r="F37" s="26"/>
    </row>
    <row r="38" spans="1:6" x14ac:dyDescent="0.25">
      <c r="A38" s="26" t="s">
        <v>91</v>
      </c>
      <c r="B38" s="27" t="s">
        <v>90</v>
      </c>
      <c r="C38" s="20">
        <f>C37-((C11+C12)/1000)</f>
        <v>1.4383132318469634</v>
      </c>
      <c r="D38" s="26"/>
      <c r="E38" s="26"/>
      <c r="F38" s="26"/>
    </row>
    <row r="39" spans="1:6" x14ac:dyDescent="0.25">
      <c r="A39" s="26" t="s">
        <v>92</v>
      </c>
      <c r="B39" s="27" t="s">
        <v>90</v>
      </c>
      <c r="C39" s="35">
        <f>C37-(C11/1000)</f>
        <v>3.2133132318469633</v>
      </c>
      <c r="D39" s="26"/>
      <c r="E39" s="26"/>
      <c r="F39" s="26"/>
    </row>
    <row r="40" spans="1:6" ht="17.25" x14ac:dyDescent="0.25">
      <c r="A40" s="26" t="s">
        <v>79</v>
      </c>
      <c r="B40" s="27" t="s">
        <v>80</v>
      </c>
      <c r="C40" s="20">
        <f>PI()*POWER((C36/2),3)*4/3</f>
        <v>5.0044863474540167</v>
      </c>
      <c r="D40" s="26"/>
      <c r="E40" s="26"/>
      <c r="F40" s="26"/>
    </row>
    <row r="41" spans="1:6" x14ac:dyDescent="0.25">
      <c r="A41" s="26" t="s">
        <v>87</v>
      </c>
      <c r="B41" s="27" t="s">
        <v>86</v>
      </c>
      <c r="C41" s="34">
        <f>C40*1000</f>
        <v>5004.4863474540171</v>
      </c>
      <c r="D41" s="26"/>
      <c r="E41" s="26"/>
      <c r="F41" s="26"/>
    </row>
    <row r="42" spans="1:6" x14ac:dyDescent="0.25">
      <c r="A42" s="26" t="s">
        <v>84</v>
      </c>
      <c r="B42" s="27" t="s">
        <v>81</v>
      </c>
      <c r="C42" s="30">
        <f>((C19+C22)*1000)*C40/(Constants!B5*(C17+Constants!B3))</f>
        <v>191.21745683652188</v>
      </c>
      <c r="D42" s="26"/>
      <c r="E42" s="26"/>
      <c r="F42" s="26"/>
    </row>
    <row r="43" spans="1:6" x14ac:dyDescent="0.25">
      <c r="A43" s="26" t="s">
        <v>78</v>
      </c>
      <c r="B43" s="27" t="s">
        <v>57</v>
      </c>
      <c r="C43" s="33">
        <f>VLOOKUP(C6,Balloon_Data!A5:D39,3,FALSE)</f>
        <v>9.44</v>
      </c>
      <c r="D43" s="26"/>
      <c r="E43" s="26"/>
      <c r="F43" s="26"/>
    </row>
    <row r="44" spans="1:6" ht="17.25" x14ac:dyDescent="0.25">
      <c r="A44" s="26" t="s">
        <v>85</v>
      </c>
      <c r="B44" s="27" t="s">
        <v>80</v>
      </c>
      <c r="C44" s="20">
        <f>PI()*POWER(C43/2,3)*4/3</f>
        <v>440.4682462560379</v>
      </c>
      <c r="D44" s="26"/>
      <c r="E44" s="26"/>
      <c r="F44" s="26"/>
    </row>
    <row r="45" spans="1:6" x14ac:dyDescent="0.25">
      <c r="A45" s="26" t="s">
        <v>77</v>
      </c>
      <c r="B45" s="27" t="s">
        <v>57</v>
      </c>
      <c r="C45" s="38">
        <f>Burst_Altitude(C42,C44,C23)</f>
        <v>32083</v>
      </c>
      <c r="D45" s="26"/>
      <c r="E45" s="26"/>
      <c r="F45" s="26"/>
    </row>
    <row r="46" spans="1:6" x14ac:dyDescent="0.25">
      <c r="A46" s="26" t="s">
        <v>83</v>
      </c>
      <c r="B46" s="27" t="s">
        <v>58</v>
      </c>
      <c r="C46" s="30">
        <f>atmospheric_temperature(C45)</f>
        <v>-35.281830000000006</v>
      </c>
      <c r="D46" s="26"/>
      <c r="E46" s="26"/>
      <c r="F46" s="26"/>
    </row>
    <row r="47" spans="1:6" x14ac:dyDescent="0.25">
      <c r="A47" s="26" t="s">
        <v>82</v>
      </c>
      <c r="B47" s="27" t="s">
        <v>62</v>
      </c>
      <c r="C47" s="20">
        <f>Atmospheric_Pressure(C45)</f>
        <v>0.8583222996961829</v>
      </c>
      <c r="D47" s="26"/>
      <c r="E47" s="26"/>
      <c r="F47" s="26"/>
    </row>
    <row r="48" spans="1:6" ht="17.25" x14ac:dyDescent="0.25">
      <c r="A48" s="26" t="s">
        <v>97</v>
      </c>
      <c r="B48" s="27" t="s">
        <v>63</v>
      </c>
      <c r="C48" s="20">
        <f>Atmospheric_Density(C45)</f>
        <v>1.2579831231150633E-2</v>
      </c>
      <c r="D48" s="26"/>
      <c r="E48" s="26"/>
      <c r="F48" s="26"/>
    </row>
    <row r="49" spans="1:6" x14ac:dyDescent="0.25">
      <c r="A49" s="26" t="s">
        <v>98</v>
      </c>
      <c r="B49" s="27" t="s">
        <v>99</v>
      </c>
      <c r="C49" s="36">
        <f>C45/C26/60</f>
        <v>117.77900146842877</v>
      </c>
      <c r="D49" s="26"/>
      <c r="E49" s="26"/>
      <c r="F49" s="26"/>
    </row>
    <row r="50" spans="1:6" x14ac:dyDescent="0.25">
      <c r="A50" s="26"/>
      <c r="B50" s="27"/>
      <c r="C50" s="26"/>
      <c r="D50" s="26"/>
      <c r="E50" s="26"/>
      <c r="F50" s="26"/>
    </row>
    <row r="51" spans="1:6" x14ac:dyDescent="0.25">
      <c r="B51" s="7"/>
    </row>
    <row r="52" spans="1:6" x14ac:dyDescent="0.25">
      <c r="B52" s="7"/>
    </row>
    <row r="53" spans="1:6" x14ac:dyDescent="0.25">
      <c r="B53" s="7"/>
    </row>
    <row r="54" spans="1:6" x14ac:dyDescent="0.25">
      <c r="B54" s="7"/>
    </row>
    <row r="55" spans="1:6" x14ac:dyDescent="0.25">
      <c r="B55" s="7"/>
    </row>
    <row r="56" spans="1:6" x14ac:dyDescent="0.25">
      <c r="B56" s="7"/>
    </row>
    <row r="57" spans="1:6" x14ac:dyDescent="0.25">
      <c r="B57" s="7"/>
    </row>
    <row r="58" spans="1:6" x14ac:dyDescent="0.25">
      <c r="B58" s="7"/>
    </row>
    <row r="59" spans="1:6" x14ac:dyDescent="0.25">
      <c r="B59" s="7"/>
    </row>
    <row r="60" spans="1:6" x14ac:dyDescent="0.25">
      <c r="B60" s="7"/>
    </row>
    <row r="61" spans="1:6" x14ac:dyDescent="0.25">
      <c r="B61" s="7"/>
    </row>
    <row r="62" spans="1:6" x14ac:dyDescent="0.25">
      <c r="B62" s="7"/>
    </row>
    <row r="63" spans="1:6" x14ac:dyDescent="0.25">
      <c r="B63" s="7"/>
    </row>
    <row r="64" spans="1:6" x14ac:dyDescent="0.25">
      <c r="B64" s="7"/>
    </row>
  </sheetData>
  <sheetProtection sheet="1" objects="1" scenarios="1"/>
  <conditionalFormatting sqref="C33">
    <cfRule type="cellIs" dxfId="10" priority="2" operator="lessThan">
      <formula>0</formula>
    </cfRule>
  </conditionalFormatting>
  <conditionalFormatting sqref="C45">
    <cfRule type="cellIs" dxfId="9" priority="1" operator="equal">
      <formula>50000</formula>
    </cfRule>
  </conditionalFormatting>
  <hyperlinks>
    <hyperlink ref="E27" r:id="rId1" location="Reduction_to_a_depressed_cubic"/>
    <hyperlink ref="E2" r:id="rId2"/>
    <hyperlink ref="E28" r:id="rId3" location="Cardano's_method"/>
  </hyperlinks>
  <pageMargins left="0.7" right="0.7" top="0.75" bottom="0.75" header="0.3" footer="0.3"/>
  <pageSetup paperSize="9" orientation="portrait" horizontalDpi="4294967293" verticalDpi="4294967293" r:id="rId4"/>
  <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Gas!$A$5:$A$6</xm:f>
          </x14:formula1>
          <xm:sqref>C13:D13</xm:sqref>
        </x14:dataValidation>
        <x14:dataValidation type="list">
          <x14:formula1>
            <xm:f>Balloon_Data!$A$5:$A$39</xm:f>
          </x14:formula1>
          <xm:sqref>C6:D6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6"/>
  <sheetViews>
    <sheetView workbookViewId="0">
      <selection activeCell="A6" sqref="A6"/>
    </sheetView>
  </sheetViews>
  <sheetFormatPr defaultRowHeight="15" x14ac:dyDescent="0.25"/>
  <cols>
    <col min="1" max="1" width="44.570312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 t="s">
        <v>103</v>
      </c>
      <c r="F1" s="26"/>
    </row>
    <row r="2" spans="1:6" x14ac:dyDescent="0.25">
      <c r="A2" s="25" t="s">
        <v>115</v>
      </c>
      <c r="B2" s="26"/>
      <c r="C2" s="26"/>
      <c r="D2" s="26"/>
      <c r="E2" s="37" t="s">
        <v>102</v>
      </c>
      <c r="F2" s="26"/>
    </row>
    <row r="3" spans="1:6" x14ac:dyDescent="0.25">
      <c r="A3" s="25"/>
      <c r="B3" s="26"/>
      <c r="C3" s="26"/>
      <c r="D3" s="26"/>
      <c r="E3" s="37"/>
      <c r="F3" s="26"/>
    </row>
    <row r="4" spans="1:6" x14ac:dyDescent="0.25">
      <c r="A4" s="39" t="s">
        <v>150</v>
      </c>
      <c r="B4" s="26"/>
      <c r="C4" s="26"/>
      <c r="D4" s="26"/>
      <c r="E4" s="37"/>
      <c r="F4" s="26"/>
    </row>
    <row r="5" spans="1:6" x14ac:dyDescent="0.25">
      <c r="A5" s="25"/>
      <c r="B5" s="26"/>
      <c r="C5" s="26"/>
      <c r="D5" s="26"/>
      <c r="E5" s="26"/>
      <c r="F5" s="26"/>
    </row>
    <row r="6" spans="1:6" x14ac:dyDescent="0.25">
      <c r="A6" s="25"/>
      <c r="B6" s="27" t="s">
        <v>44</v>
      </c>
      <c r="C6" s="26"/>
      <c r="D6" s="26"/>
      <c r="E6" s="26" t="s">
        <v>64</v>
      </c>
      <c r="F6" s="26"/>
    </row>
    <row r="7" spans="1:6" x14ac:dyDescent="0.25">
      <c r="A7" s="26"/>
      <c r="B7" s="27"/>
      <c r="C7" s="26"/>
      <c r="D7" s="26"/>
      <c r="E7" s="26"/>
      <c r="F7" s="26"/>
    </row>
    <row r="8" spans="1:6" x14ac:dyDescent="0.25">
      <c r="A8" s="26" t="s">
        <v>120</v>
      </c>
      <c r="B8" s="27"/>
      <c r="C8" s="15" t="s">
        <v>14</v>
      </c>
      <c r="D8" s="28"/>
      <c r="E8" s="26"/>
      <c r="F8" s="26"/>
    </row>
    <row r="9" spans="1:6" x14ac:dyDescent="0.25">
      <c r="A9" s="26" t="s">
        <v>121</v>
      </c>
      <c r="B9" s="27" t="s">
        <v>43</v>
      </c>
      <c r="C9" s="13">
        <f>VLOOKUP(C8,Balloon_Data!A5:D39,2,FALSE)</f>
        <v>1500</v>
      </c>
      <c r="D9" s="29"/>
      <c r="E9" s="26"/>
      <c r="F9" s="26"/>
    </row>
    <row r="10" spans="1:6" x14ac:dyDescent="0.25">
      <c r="A10" s="26" t="s">
        <v>184</v>
      </c>
      <c r="B10" s="27"/>
      <c r="C10" s="33">
        <f>VLOOKUP(C8,Balloon_Data!A5:D39,4,FALSE)</f>
        <v>0.25</v>
      </c>
      <c r="D10" s="29"/>
      <c r="E10" s="26" t="s">
        <v>179</v>
      </c>
    </row>
    <row r="11" spans="1:6" x14ac:dyDescent="0.25">
      <c r="A11" s="26" t="s">
        <v>185</v>
      </c>
      <c r="B11" s="27"/>
      <c r="C11" s="57">
        <v>0.35</v>
      </c>
      <c r="D11" s="29"/>
      <c r="E11" s="26" t="s">
        <v>180</v>
      </c>
    </row>
    <row r="12" spans="1:6" x14ac:dyDescent="0.25">
      <c r="A12" s="26" t="s">
        <v>122</v>
      </c>
      <c r="B12" s="27" t="s">
        <v>43</v>
      </c>
      <c r="C12" s="16">
        <v>54</v>
      </c>
      <c r="D12" s="19"/>
      <c r="E12" s="26"/>
      <c r="F12" s="26"/>
    </row>
    <row r="13" spans="1:6" x14ac:dyDescent="0.25">
      <c r="A13" s="26" t="s">
        <v>123</v>
      </c>
      <c r="B13" s="27" t="s">
        <v>43</v>
      </c>
      <c r="C13" s="30">
        <f>C9+C12</f>
        <v>1554</v>
      </c>
      <c r="D13" s="19"/>
      <c r="E13" s="26"/>
      <c r="F13" s="26"/>
    </row>
    <row r="14" spans="1:6" x14ac:dyDescent="0.25">
      <c r="A14" s="26" t="s">
        <v>116</v>
      </c>
      <c r="B14" s="27"/>
      <c r="C14" s="15" t="s">
        <v>14</v>
      </c>
      <c r="D14" s="28"/>
      <c r="E14" s="26"/>
      <c r="F14" s="26"/>
    </row>
    <row r="15" spans="1:6" x14ac:dyDescent="0.25">
      <c r="A15" s="26" t="s">
        <v>117</v>
      </c>
      <c r="B15" s="27" t="s">
        <v>43</v>
      </c>
      <c r="C15" s="13">
        <f>VLOOKUP(C14,Balloon_Data!A5:D39,2,FALSE)</f>
        <v>1500</v>
      </c>
      <c r="D15" s="29"/>
      <c r="E15" s="26"/>
      <c r="F15" s="26"/>
    </row>
    <row r="16" spans="1:6" x14ac:dyDescent="0.25">
      <c r="A16" s="26" t="s">
        <v>187</v>
      </c>
      <c r="B16" s="27"/>
      <c r="C16" s="33">
        <f>VLOOKUP(C14,Balloon_Data!A5:D39,4,FALSE)</f>
        <v>0.25</v>
      </c>
      <c r="D16" s="29"/>
      <c r="E16" s="26" t="s">
        <v>179</v>
      </c>
    </row>
    <row r="17" spans="1:6" x14ac:dyDescent="0.25">
      <c r="A17" s="26" t="s">
        <v>188</v>
      </c>
      <c r="B17" s="27"/>
      <c r="C17" s="57">
        <v>0.35</v>
      </c>
      <c r="D17" s="29"/>
      <c r="E17" s="26" t="s">
        <v>180</v>
      </c>
    </row>
    <row r="18" spans="1:6" x14ac:dyDescent="0.25">
      <c r="A18" s="26" t="s">
        <v>118</v>
      </c>
      <c r="B18" s="27" t="s">
        <v>43</v>
      </c>
      <c r="C18" s="16">
        <v>54</v>
      </c>
      <c r="D18" s="19"/>
      <c r="E18" s="26"/>
      <c r="F18" s="26"/>
    </row>
    <row r="19" spans="1:6" x14ac:dyDescent="0.25">
      <c r="A19" s="26" t="s">
        <v>119</v>
      </c>
      <c r="B19" s="27" t="s">
        <v>43</v>
      </c>
      <c r="C19" s="30">
        <f>C15+C18</f>
        <v>1554</v>
      </c>
      <c r="D19" s="19"/>
      <c r="E19" s="26"/>
      <c r="F19" s="26"/>
    </row>
    <row r="20" spans="1:6" x14ac:dyDescent="0.25">
      <c r="A20" s="26" t="s">
        <v>189</v>
      </c>
      <c r="B20" s="27"/>
      <c r="C20" s="33">
        <f>MAX(C11,C17)</f>
        <v>0.35</v>
      </c>
      <c r="D20" s="19"/>
      <c r="E20" s="26"/>
      <c r="F20" s="26"/>
    </row>
    <row r="21" spans="1:6" x14ac:dyDescent="0.25">
      <c r="A21" s="26" t="s">
        <v>47</v>
      </c>
      <c r="B21" s="27" t="s">
        <v>43</v>
      </c>
      <c r="C21" s="16">
        <v>1775</v>
      </c>
      <c r="D21" s="19"/>
      <c r="E21" s="26"/>
      <c r="F21" s="26"/>
    </row>
    <row r="22" spans="1:6" x14ac:dyDescent="0.25">
      <c r="A22" s="26" t="s">
        <v>49</v>
      </c>
      <c r="B22" s="27"/>
      <c r="C22" s="15" t="s">
        <v>50</v>
      </c>
      <c r="D22" s="28"/>
      <c r="E22" s="26"/>
      <c r="F22" s="26"/>
    </row>
    <row r="23" spans="1:6" x14ac:dyDescent="0.25">
      <c r="A23" s="26" t="s">
        <v>56</v>
      </c>
      <c r="B23" s="27" t="s">
        <v>57</v>
      </c>
      <c r="C23" s="17">
        <v>700</v>
      </c>
      <c r="D23" s="29"/>
      <c r="E23" s="26"/>
      <c r="F23" s="26"/>
    </row>
    <row r="24" spans="1:6" x14ac:dyDescent="0.25">
      <c r="A24" s="26" t="s">
        <v>59</v>
      </c>
      <c r="B24" s="27" t="s">
        <v>58</v>
      </c>
      <c r="C24" s="30">
        <f>atmospheric_temperature(C23)</f>
        <v>10.497</v>
      </c>
      <c r="D24" s="30"/>
      <c r="E24" s="26"/>
      <c r="F24" s="26"/>
    </row>
    <row r="25" spans="1:6" x14ac:dyDescent="0.25">
      <c r="A25" s="26" t="s">
        <v>67</v>
      </c>
      <c r="B25" s="27" t="s">
        <v>58</v>
      </c>
      <c r="C25" s="16">
        <v>22</v>
      </c>
      <c r="D25" s="30"/>
      <c r="E25" s="31" t="s">
        <v>65</v>
      </c>
      <c r="F25" s="26"/>
    </row>
    <row r="26" spans="1:6" x14ac:dyDescent="0.25">
      <c r="A26" s="26" t="s">
        <v>68</v>
      </c>
      <c r="B26" s="27" t="s">
        <v>58</v>
      </c>
      <c r="C26" s="16">
        <v>22</v>
      </c>
      <c r="D26" s="26"/>
      <c r="E26" s="31" t="s">
        <v>65</v>
      </c>
      <c r="F26" s="26"/>
    </row>
    <row r="27" spans="1:6" x14ac:dyDescent="0.25">
      <c r="A27" s="26" t="s">
        <v>60</v>
      </c>
      <c r="B27" s="27" t="s">
        <v>62</v>
      </c>
      <c r="C27" s="30">
        <f>Atmospheric_Pressure(C23)</f>
        <v>93.275042041811972</v>
      </c>
      <c r="D27" s="30"/>
      <c r="E27" s="26"/>
      <c r="F27" s="26"/>
    </row>
    <row r="28" spans="1:6" x14ac:dyDescent="0.25">
      <c r="A28" s="26" t="s">
        <v>69</v>
      </c>
      <c r="B28" s="27" t="s">
        <v>62</v>
      </c>
      <c r="C28" s="16">
        <v>93.6</v>
      </c>
      <c r="D28" s="26"/>
      <c r="E28" s="31" t="s">
        <v>66</v>
      </c>
      <c r="F28" s="26"/>
    </row>
    <row r="29" spans="1:6" ht="17.25" x14ac:dyDescent="0.25">
      <c r="A29" s="26" t="s">
        <v>61</v>
      </c>
      <c r="B29" s="27" t="s">
        <v>63</v>
      </c>
      <c r="C29" s="20">
        <f>Atmospheric_Density(C23)</f>
        <v>1.1463923328761279</v>
      </c>
      <c r="D29" s="20"/>
      <c r="E29" s="26"/>
      <c r="F29" s="26"/>
    </row>
    <row r="30" spans="1:6" ht="17.25" x14ac:dyDescent="0.25">
      <c r="A30" s="26" t="s">
        <v>70</v>
      </c>
      <c r="B30" s="27" t="s">
        <v>63</v>
      </c>
      <c r="C30" s="20">
        <f>C28/(0.2869*(C25+Constants!B3))</f>
        <v>1.1055441503662882</v>
      </c>
      <c r="D30" s="26"/>
      <c r="E30" s="26"/>
      <c r="F30" s="26"/>
    </row>
    <row r="31" spans="1:6" x14ac:dyDescent="0.25">
      <c r="A31" s="26" t="s">
        <v>181</v>
      </c>
      <c r="B31" s="27" t="s">
        <v>62</v>
      </c>
      <c r="C31" s="56">
        <v>0.15</v>
      </c>
      <c r="D31" s="26"/>
      <c r="E31" s="26" t="s">
        <v>183</v>
      </c>
      <c r="F31" s="26"/>
    </row>
    <row r="32" spans="1:6" x14ac:dyDescent="0.25">
      <c r="A32" s="26" t="s">
        <v>190</v>
      </c>
      <c r="B32" s="27" t="s">
        <v>62</v>
      </c>
      <c r="C32" s="56">
        <v>0.15</v>
      </c>
      <c r="D32" s="26"/>
      <c r="E32" s="26" t="s">
        <v>183</v>
      </c>
      <c r="F32" s="26"/>
    </row>
    <row r="33" spans="1:6" x14ac:dyDescent="0.25">
      <c r="A33" s="26" t="s">
        <v>113</v>
      </c>
      <c r="B33" s="27" t="s">
        <v>76</v>
      </c>
      <c r="C33" s="32">
        <f>VLOOKUP(C22,Gas!A5:E6,3,FALSE)</f>
        <v>4.0026020000000001E-3</v>
      </c>
      <c r="D33" s="26"/>
      <c r="E33" s="26"/>
      <c r="F33" s="26"/>
    </row>
    <row r="34" spans="1:6" ht="17.25" x14ac:dyDescent="0.25">
      <c r="A34" s="26" t="s">
        <v>71</v>
      </c>
      <c r="B34" s="27" t="s">
        <v>63</v>
      </c>
      <c r="C34" s="21">
        <f>((C28+C31)*1000)*C33/(Constants!B5*(C26+Constants!B3))</f>
        <v>0.15293625000259006</v>
      </c>
      <c r="D34" s="26"/>
      <c r="E34" s="26"/>
      <c r="F34" s="26"/>
    </row>
    <row r="35" spans="1:6" ht="17.25" x14ac:dyDescent="0.25">
      <c r="A35" s="26" t="s">
        <v>124</v>
      </c>
      <c r="B35" s="27" t="s">
        <v>57</v>
      </c>
      <c r="C35" s="17">
        <v>20000</v>
      </c>
      <c r="D35" s="26"/>
      <c r="E35" s="26"/>
      <c r="F35" s="26"/>
    </row>
    <row r="36" spans="1:6" x14ac:dyDescent="0.25">
      <c r="A36" s="26" t="s">
        <v>100</v>
      </c>
      <c r="B36" s="27" t="s">
        <v>96</v>
      </c>
      <c r="C36" s="16">
        <v>5</v>
      </c>
      <c r="D36" s="26"/>
      <c r="E36" s="26"/>
      <c r="F36" s="26"/>
    </row>
    <row r="37" spans="1:6" x14ac:dyDescent="0.25">
      <c r="A37" s="26" t="s">
        <v>127</v>
      </c>
      <c r="B37" s="27" t="s">
        <v>62</v>
      </c>
      <c r="C37" s="19">
        <f>Atmospheric_Pressure(C35)</f>
        <v>5.5298453634253502</v>
      </c>
      <c r="D37" s="26"/>
      <c r="E37" s="26"/>
      <c r="F37" s="26"/>
    </row>
    <row r="38" spans="1:6" x14ac:dyDescent="0.25">
      <c r="A38" s="26" t="s">
        <v>128</v>
      </c>
      <c r="B38" s="27" t="s">
        <v>58</v>
      </c>
      <c r="C38" s="19">
        <f>atmospheric_temperature(C35)</f>
        <v>-56.46</v>
      </c>
      <c r="D38" s="26"/>
      <c r="E38" s="26"/>
      <c r="F38" s="26"/>
    </row>
    <row r="39" spans="1:6" ht="17.25" x14ac:dyDescent="0.25">
      <c r="A39" s="26" t="s">
        <v>130</v>
      </c>
      <c r="B39" s="27" t="s">
        <v>63</v>
      </c>
      <c r="C39" s="53">
        <f>Atmospheric_Density(C35)</f>
        <v>8.8970041186483426E-2</v>
      </c>
      <c r="D39" s="26"/>
      <c r="E39" s="26"/>
      <c r="F39" s="26"/>
    </row>
    <row r="40" spans="1:6" ht="17.25" x14ac:dyDescent="0.25">
      <c r="A40" s="26" t="s">
        <v>125</v>
      </c>
      <c r="B40" s="27" t="s">
        <v>63</v>
      </c>
      <c r="C40" s="53">
        <f>((C37+C32)*1000) * C33 / (Constants!B5 * (C38 + Constants!B3))</f>
        <v>1.2621362349370986E-2</v>
      </c>
      <c r="D40" s="26"/>
      <c r="E40" s="26" t="s">
        <v>126</v>
      </c>
      <c r="F40" s="26"/>
    </row>
    <row r="41" spans="1:6" ht="17.25" x14ac:dyDescent="0.25">
      <c r="A41" s="26" t="s">
        <v>132</v>
      </c>
      <c r="B41" s="27" t="s">
        <v>57</v>
      </c>
      <c r="C41" s="24">
        <f>VLOOKUP(C8,Balloon_Data!A5:D39,3,FALSE)</f>
        <v>9.44</v>
      </c>
      <c r="D41" s="26"/>
      <c r="E41" s="26"/>
      <c r="F41" s="26"/>
    </row>
    <row r="42" spans="1:6" ht="17.25" x14ac:dyDescent="0.25">
      <c r="A42" s="26" t="s">
        <v>129</v>
      </c>
      <c r="B42" s="27" t="s">
        <v>80</v>
      </c>
      <c r="C42" s="53">
        <f>((C13+C21)/1000)/(C39-C40)</f>
        <v>43.602588161378918</v>
      </c>
      <c r="D42" s="26"/>
      <c r="E42" s="39" t="s">
        <v>163</v>
      </c>
      <c r="F42" s="26"/>
    </row>
    <row r="43" spans="1:6" ht="17.25" x14ac:dyDescent="0.25">
      <c r="A43" s="26" t="s">
        <v>131</v>
      </c>
      <c r="B43" s="27" t="s">
        <v>57</v>
      </c>
      <c r="C43" s="53">
        <f>2*POWER((C42*3/(4*PI())),(1/3))</f>
        <v>4.3668795743004667</v>
      </c>
      <c r="D43" s="26"/>
      <c r="E43" s="26"/>
      <c r="F43" s="26"/>
    </row>
    <row r="44" spans="1:6" ht="17.25" x14ac:dyDescent="0.25">
      <c r="A44" s="26" t="s">
        <v>133</v>
      </c>
      <c r="B44" s="27" t="s">
        <v>81</v>
      </c>
      <c r="C44" s="20">
        <f>((C37+C32)*1000)*C42/(Constants!B5*(C38+Constants!B3))</f>
        <v>137.49157786738652</v>
      </c>
      <c r="D44" s="26"/>
      <c r="E44" s="26"/>
      <c r="F44" s="26"/>
    </row>
    <row r="45" spans="1:6" ht="17.25" x14ac:dyDescent="0.25">
      <c r="A45" s="26" t="s">
        <v>134</v>
      </c>
      <c r="B45" s="27" t="s">
        <v>80</v>
      </c>
      <c r="C45" s="20">
        <f>(C44*Constants!B5*(C26+Constants!B3)/((C28+C31)*1000))</f>
        <v>3.5983886393568367</v>
      </c>
      <c r="D45" s="26"/>
      <c r="E45" s="26"/>
      <c r="F45" s="26"/>
    </row>
    <row r="46" spans="1:6" ht="17.25" x14ac:dyDescent="0.25">
      <c r="A46" s="26" t="s">
        <v>135</v>
      </c>
      <c r="B46" s="27" t="s">
        <v>86</v>
      </c>
      <c r="C46" s="34">
        <f>C45*1000</f>
        <v>3598.3886393568368</v>
      </c>
      <c r="D46" s="26"/>
      <c r="E46" s="26"/>
      <c r="F46" s="26"/>
    </row>
    <row r="47" spans="1:6" x14ac:dyDescent="0.25">
      <c r="A47" s="26" t="s">
        <v>136</v>
      </c>
      <c r="B47" s="27" t="s">
        <v>57</v>
      </c>
      <c r="C47" s="20">
        <f>2*POWER(((C45*3)/(4*PI())),(1/3))</f>
        <v>1.9012379807696762</v>
      </c>
      <c r="D47" s="26"/>
      <c r="E47" s="26"/>
      <c r="F47" s="26"/>
    </row>
    <row r="48" spans="1:6" x14ac:dyDescent="0.25">
      <c r="A48" s="26" t="s">
        <v>137</v>
      </c>
      <c r="B48" s="27" t="s">
        <v>90</v>
      </c>
      <c r="C48" s="20">
        <f>C45*(C30-C34)</f>
        <v>3.427853446430301</v>
      </c>
      <c r="D48" s="26"/>
      <c r="E48" s="26"/>
      <c r="F48" s="26"/>
    </row>
    <row r="49" spans="1:6" x14ac:dyDescent="0.25">
      <c r="A49" s="26" t="s">
        <v>138</v>
      </c>
      <c r="B49" s="27" t="s">
        <v>90</v>
      </c>
      <c r="C49" s="35">
        <f>C48-(C13/1000)</f>
        <v>1.8738534464303009</v>
      </c>
      <c r="D49" s="26"/>
      <c r="E49" s="26"/>
      <c r="F49" s="26"/>
    </row>
    <row r="50" spans="1:6" x14ac:dyDescent="0.25">
      <c r="A50" s="26" t="s">
        <v>105</v>
      </c>
      <c r="B50" s="27"/>
      <c r="C50" s="18">
        <f>Constants!B4*(4/3) * PI() * (C30-C34)</f>
        <v>39.132623414541094</v>
      </c>
      <c r="D50" s="26"/>
      <c r="E50" s="37" t="s">
        <v>101</v>
      </c>
      <c r="F50" s="26"/>
    </row>
    <row r="51" spans="1:6" x14ac:dyDescent="0.25">
      <c r="A51" s="26" t="s">
        <v>106</v>
      </c>
      <c r="B51" s="27"/>
      <c r="C51" s="18">
        <f>(-0.5)*C30*C20*POWER(C36,2)*PI()</f>
        <v>-15.195116041918313</v>
      </c>
      <c r="D51" s="26"/>
      <c r="E51" s="37" t="s">
        <v>104</v>
      </c>
      <c r="F51" s="26"/>
    </row>
    <row r="52" spans="1:6" x14ac:dyDescent="0.25">
      <c r="A52" s="26" t="s">
        <v>58</v>
      </c>
      <c r="B52" s="27"/>
      <c r="C52" s="19">
        <v>0</v>
      </c>
      <c r="D52" s="26"/>
      <c r="E52" s="26"/>
      <c r="F52" s="26"/>
    </row>
    <row r="53" spans="1:6" x14ac:dyDescent="0.25">
      <c r="A53" s="26" t="s">
        <v>139</v>
      </c>
      <c r="B53" s="27"/>
      <c r="C53" s="18">
        <f>(-1)*Constants!B4*((C13+C19+C21)/1000)</f>
        <v>-47.887581000000004</v>
      </c>
      <c r="D53" s="26"/>
      <c r="E53" s="26"/>
      <c r="F53" s="26"/>
    </row>
    <row r="54" spans="1:6" x14ac:dyDescent="0.25">
      <c r="A54" s="26" t="s">
        <v>140</v>
      </c>
      <c r="B54" s="27"/>
      <c r="C54" s="18">
        <f>(Constants!B4*(4/3)*PI() * (C30-C34)*POWER((C47/2),3))</f>
        <v>33.616958749141951</v>
      </c>
      <c r="D54" s="26"/>
      <c r="E54" s="26"/>
      <c r="F54" s="26"/>
    </row>
    <row r="55" spans="1:6" x14ac:dyDescent="0.25">
      <c r="A55" s="26" t="s">
        <v>141</v>
      </c>
      <c r="B55" s="27"/>
      <c r="C55" s="18">
        <f>(-0.5) * C30*C20*POWER(C36,2)*PI()*POWER((C47/2),2)</f>
        <v>-13.73146874820651</v>
      </c>
      <c r="D55" s="26"/>
      <c r="E55" s="26"/>
      <c r="F55" s="26"/>
    </row>
    <row r="56" spans="1:6" x14ac:dyDescent="0.25">
      <c r="A56" s="26" t="s">
        <v>107</v>
      </c>
      <c r="B56" s="27"/>
      <c r="C56" s="18">
        <f>C53+C54+C55</f>
        <v>-28.002090999064563</v>
      </c>
      <c r="D56" s="26"/>
      <c r="E56" s="26"/>
      <c r="F56" s="26"/>
    </row>
    <row r="57" spans="1:6" x14ac:dyDescent="0.25">
      <c r="A57" s="26" t="s">
        <v>108</v>
      </c>
      <c r="B57" s="27"/>
      <c r="C57" s="22">
        <f>((3*C50*C52)-POWER(C51,2))/(3*POWER(C50,2))</f>
        <v>-5.0258423343577115E-2</v>
      </c>
      <c r="D57" s="26"/>
      <c r="E57" s="26"/>
      <c r="F57" s="26"/>
    </row>
    <row r="58" spans="1:6" x14ac:dyDescent="0.25">
      <c r="A58" s="26" t="s">
        <v>109</v>
      </c>
      <c r="B58" s="27"/>
      <c r="C58" s="19">
        <f>(2*POWER(C51,3)-(9*C50*C51*C52)+(27*POWER(C50,2)*C56))/(27*POWER(C50,3))</f>
        <v>-0.71990568941612176</v>
      </c>
      <c r="D58" s="26"/>
      <c r="E58" s="26"/>
      <c r="F58" s="26"/>
    </row>
    <row r="59" spans="1:6" x14ac:dyDescent="0.25">
      <c r="A59" s="26" t="s">
        <v>110</v>
      </c>
      <c r="B59" s="27"/>
      <c r="C59" s="19">
        <f>(POWER(C58,2)/4)+(POWER(C57,3)/27)</f>
        <v>0.12956134862787988</v>
      </c>
      <c r="D59" s="26"/>
      <c r="E59" s="26"/>
      <c r="F59" s="26"/>
    </row>
    <row r="60" spans="1:6" x14ac:dyDescent="0.25">
      <c r="A60" s="26" t="s">
        <v>111</v>
      </c>
      <c r="B60" s="27"/>
      <c r="C60" s="23">
        <f>POWER((((0-C58)/2)+POWER(C59,0.5)),(1/3))</f>
        <v>0.89623910358688874</v>
      </c>
      <c r="D60" s="26"/>
      <c r="E60" s="26"/>
      <c r="F60" s="26"/>
    </row>
    <row r="61" spans="1:6" x14ac:dyDescent="0.25">
      <c r="A61" s="26" t="s">
        <v>112</v>
      </c>
      <c r="B61" s="27"/>
      <c r="C61" s="23">
        <f>POWER((((0-C58)/2)-POWER(C59,0.5)),(1/3))</f>
        <v>1.8692341936616921E-2</v>
      </c>
      <c r="D61" s="26"/>
      <c r="E61" s="26"/>
      <c r="F61" s="26"/>
    </row>
    <row r="62" spans="1:6" x14ac:dyDescent="0.25">
      <c r="A62" s="26" t="s">
        <v>142</v>
      </c>
      <c r="B62" s="27" t="s">
        <v>57</v>
      </c>
      <c r="C62" s="24">
        <f>2*((C60+C61)-(C51/(3*C50)))</f>
        <v>2.0887281670590125</v>
      </c>
      <c r="D62" s="26"/>
      <c r="E62" s="26"/>
      <c r="F62" s="26"/>
    </row>
    <row r="63" spans="1:6" x14ac:dyDescent="0.25">
      <c r="A63" s="26" t="s">
        <v>143</v>
      </c>
      <c r="B63" s="27" t="s">
        <v>90</v>
      </c>
      <c r="C63" s="20">
        <f>(C30-C34)*PI()*POWER((C62/2),3)*4/3</f>
        <v>4.5452583293726017</v>
      </c>
      <c r="D63" s="26"/>
      <c r="E63" s="26"/>
      <c r="F63" s="26"/>
    </row>
    <row r="64" spans="1:6" x14ac:dyDescent="0.25">
      <c r="A64" s="26" t="s">
        <v>144</v>
      </c>
      <c r="B64" s="27" t="s">
        <v>90</v>
      </c>
      <c r="C64" s="35">
        <f>C63-(C19/1000)</f>
        <v>2.9912583293726014</v>
      </c>
      <c r="D64" s="26"/>
      <c r="E64" s="26"/>
      <c r="F64" s="26"/>
    </row>
    <row r="65" spans="1:6" ht="17.25" x14ac:dyDescent="0.25">
      <c r="A65" s="26" t="s">
        <v>145</v>
      </c>
      <c r="B65" s="27" t="s">
        <v>80</v>
      </c>
      <c r="C65" s="20">
        <f>PI()*POWER((C62/2),3)*4/3</f>
        <v>4.771384247009979</v>
      </c>
      <c r="D65" s="26"/>
      <c r="E65" s="26"/>
      <c r="F65" s="26"/>
    </row>
    <row r="66" spans="1:6" x14ac:dyDescent="0.25">
      <c r="A66" s="26" t="s">
        <v>149</v>
      </c>
      <c r="B66" s="27" t="s">
        <v>86</v>
      </c>
      <c r="C66" s="34">
        <f>C65*1000</f>
        <v>4771.3842470099789</v>
      </c>
      <c r="D66" s="26"/>
      <c r="E66" s="26"/>
      <c r="F66" s="26"/>
    </row>
    <row r="67" spans="1:6" x14ac:dyDescent="0.25">
      <c r="A67" s="26" t="s">
        <v>84</v>
      </c>
      <c r="B67" s="27" t="s">
        <v>81</v>
      </c>
      <c r="C67" s="30">
        <f>((C28+C31)*1000)*C65/(Constants!B5*(C26+Constants!B3))</f>
        <v>182.3108103326631</v>
      </c>
      <c r="D67" s="26"/>
      <c r="E67" s="26"/>
      <c r="F67" s="26"/>
    </row>
    <row r="68" spans="1:6" x14ac:dyDescent="0.25">
      <c r="A68" s="26" t="s">
        <v>148</v>
      </c>
      <c r="B68" s="27" t="s">
        <v>57</v>
      </c>
      <c r="C68" s="30">
        <f>VLOOKUP(C14,Balloon_Data!A5:D39,3,FALSE)</f>
        <v>9.44</v>
      </c>
      <c r="D68" s="26"/>
      <c r="E68" s="26"/>
      <c r="F68" s="26"/>
    </row>
    <row r="69" spans="1:6" ht="17.25" x14ac:dyDescent="0.25">
      <c r="A69" s="26" t="s">
        <v>146</v>
      </c>
      <c r="B69" s="27" t="s">
        <v>80</v>
      </c>
      <c r="C69" s="20">
        <f>C67*Constants!B5*(C38+Constants!B3) / ((C37+C32)*1000)</f>
        <v>57.816073563208107</v>
      </c>
      <c r="D69" s="26"/>
      <c r="E69" s="26"/>
      <c r="F69" s="26"/>
    </row>
    <row r="70" spans="1:6" x14ac:dyDescent="0.25">
      <c r="A70" s="26" t="s">
        <v>147</v>
      </c>
      <c r="B70" s="27" t="s">
        <v>57</v>
      </c>
      <c r="C70" s="33">
        <f>2*POWER((C69*3/(4*PI())),(1/3))</f>
        <v>4.7975184912430153</v>
      </c>
      <c r="D70" s="26"/>
      <c r="E70" s="26"/>
      <c r="F70" s="26"/>
    </row>
    <row r="71" spans="1:6" x14ac:dyDescent="0.25">
      <c r="A71" s="26" t="s">
        <v>162</v>
      </c>
      <c r="B71" s="27" t="s">
        <v>99</v>
      </c>
      <c r="C71" s="36">
        <f>C35/C36/60</f>
        <v>66.666666666666671</v>
      </c>
      <c r="D71" s="26"/>
      <c r="E71" s="26"/>
      <c r="F71" s="26"/>
    </row>
    <row r="72" spans="1:6" x14ac:dyDescent="0.25">
      <c r="A72" s="26"/>
      <c r="B72" s="27"/>
      <c r="C72" s="26"/>
      <c r="D72" s="26"/>
      <c r="E72" s="26"/>
      <c r="F72" s="26"/>
    </row>
    <row r="73" spans="1:6" x14ac:dyDescent="0.25">
      <c r="B73" s="7"/>
    </row>
    <row r="74" spans="1:6" x14ac:dyDescent="0.25">
      <c r="B74" s="7"/>
    </row>
    <row r="75" spans="1:6" x14ac:dyDescent="0.25">
      <c r="B75" s="7"/>
    </row>
    <row r="76" spans="1:6" x14ac:dyDescent="0.25">
      <c r="B76" s="7"/>
    </row>
    <row r="77" spans="1:6" x14ac:dyDescent="0.25">
      <c r="B77" s="7"/>
    </row>
    <row r="78" spans="1:6" x14ac:dyDescent="0.25">
      <c r="B78" s="7"/>
    </row>
    <row r="79" spans="1:6" x14ac:dyDescent="0.25">
      <c r="B79" s="7"/>
    </row>
    <row r="80" spans="1:6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  <row r="85" spans="2:2" x14ac:dyDescent="0.25">
      <c r="B85" s="7"/>
    </row>
    <row r="86" spans="2:2" x14ac:dyDescent="0.25">
      <c r="B86" s="7"/>
    </row>
  </sheetData>
  <sheetProtection sheet="1" objects="1" scenarios="1"/>
  <conditionalFormatting sqref="C59">
    <cfRule type="cellIs" dxfId="8" priority="4" operator="lessThan">
      <formula>0</formula>
    </cfRule>
  </conditionalFormatting>
  <conditionalFormatting sqref="C43">
    <cfRule type="cellIs" dxfId="7" priority="2" operator="greaterThan">
      <formula>$C$41</formula>
    </cfRule>
  </conditionalFormatting>
  <conditionalFormatting sqref="C70">
    <cfRule type="cellIs" dxfId="6" priority="1" operator="greaterThan">
      <formula>$C$68</formula>
    </cfRule>
  </conditionalFormatting>
  <hyperlinks>
    <hyperlink ref="E50" r:id="rId1" location="Reduction_to_a_depressed_cubic"/>
    <hyperlink ref="E2" r:id="rId2"/>
    <hyperlink ref="E51" r:id="rId3" location="Cardano's_method"/>
  </hyperlinks>
  <pageMargins left="0.7" right="0.7" top="0.75" bottom="0.75" header="0.3" footer="0.3"/>
  <pageSetup paperSize="9" orientation="portrait" horizontalDpi="4294967293" verticalDpi="4294967293" r:id="rId4"/>
  <ignoredErrors>
    <ignoredError sqref="C37:C40 C41:C43" unlockedFormula="1"/>
  </ignoredErrors>
  <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Balloon_Data!$A$5:$A$39</xm:f>
          </x14:formula1>
          <xm:sqref>C8:D8 C14:D14</xm:sqref>
        </x14:dataValidation>
        <x14:dataValidation type="list">
          <x14:formula1>
            <xm:f>Gas!$A$5:$A$6</xm:f>
          </x14:formula1>
          <xm:sqref>C22:D22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84"/>
  <sheetViews>
    <sheetView workbookViewId="0">
      <selection activeCell="A6" sqref="A6"/>
    </sheetView>
  </sheetViews>
  <sheetFormatPr defaultRowHeight="15" x14ac:dyDescent="0.25"/>
  <cols>
    <col min="1" max="1" width="44.710937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/>
      <c r="F1" s="26"/>
    </row>
    <row r="2" spans="1:6" x14ac:dyDescent="0.25">
      <c r="A2" s="25" t="s">
        <v>151</v>
      </c>
      <c r="B2" s="26"/>
      <c r="C2" s="26"/>
      <c r="D2" s="26"/>
      <c r="E2" s="37"/>
      <c r="F2" s="26"/>
    </row>
    <row r="3" spans="1:6" x14ac:dyDescent="0.25">
      <c r="A3" s="25"/>
      <c r="B3" s="26"/>
      <c r="C3" s="26"/>
      <c r="D3" s="26"/>
      <c r="E3" s="37"/>
      <c r="F3" s="26"/>
    </row>
    <row r="4" spans="1:6" x14ac:dyDescent="0.25">
      <c r="A4" s="39" t="s">
        <v>176</v>
      </c>
      <c r="B4" s="26"/>
      <c r="C4" s="26"/>
      <c r="D4" s="26"/>
      <c r="E4" s="37"/>
      <c r="F4" s="26"/>
    </row>
    <row r="5" spans="1:6" x14ac:dyDescent="0.25">
      <c r="A5" s="25"/>
      <c r="B5" s="26"/>
      <c r="C5" s="26"/>
      <c r="D5" s="26"/>
      <c r="E5" s="37"/>
      <c r="F5" s="26"/>
    </row>
    <row r="6" spans="1:6" x14ac:dyDescent="0.25">
      <c r="A6" s="25"/>
      <c r="B6" s="27" t="s">
        <v>44</v>
      </c>
      <c r="C6" s="26"/>
      <c r="D6" s="26"/>
      <c r="E6" s="26" t="s">
        <v>64</v>
      </c>
      <c r="F6" s="26"/>
    </row>
    <row r="7" spans="1:6" x14ac:dyDescent="0.25">
      <c r="A7" s="26"/>
      <c r="B7" s="27"/>
      <c r="C7" s="26"/>
      <c r="D7" s="26"/>
      <c r="E7" s="26"/>
      <c r="F7" s="26"/>
    </row>
    <row r="8" spans="1:6" x14ac:dyDescent="0.25">
      <c r="A8" s="26" t="s">
        <v>120</v>
      </c>
      <c r="B8" s="27"/>
      <c r="C8" s="15" t="s">
        <v>14</v>
      </c>
      <c r="D8" s="28"/>
      <c r="E8" s="26"/>
      <c r="F8" s="26"/>
    </row>
    <row r="9" spans="1:6" x14ac:dyDescent="0.25">
      <c r="A9" s="26" t="s">
        <v>184</v>
      </c>
      <c r="B9" s="27"/>
      <c r="C9" s="33">
        <f>VLOOKUP(C8,Balloon_Data!A5:D39,4,FALSE)</f>
        <v>0.25</v>
      </c>
      <c r="D9" s="29"/>
      <c r="E9" s="26" t="s">
        <v>179</v>
      </c>
    </row>
    <row r="10" spans="1:6" x14ac:dyDescent="0.25">
      <c r="A10" s="26" t="s">
        <v>185</v>
      </c>
      <c r="B10" s="27"/>
      <c r="C10" s="57">
        <v>0.35</v>
      </c>
      <c r="D10" s="29"/>
      <c r="E10" s="26" t="s">
        <v>180</v>
      </c>
    </row>
    <row r="11" spans="1:6" x14ac:dyDescent="0.25">
      <c r="A11" s="26" t="s">
        <v>121</v>
      </c>
      <c r="B11" s="27" t="s">
        <v>43</v>
      </c>
      <c r="C11" s="13">
        <f>VLOOKUP(C8,Balloon_Data!A5:D39,2,FALSE)</f>
        <v>1500</v>
      </c>
      <c r="D11" s="29"/>
      <c r="E11" s="26"/>
      <c r="F11" s="26"/>
    </row>
    <row r="12" spans="1:6" x14ac:dyDescent="0.25">
      <c r="A12" s="26" t="s">
        <v>122</v>
      </c>
      <c r="B12" s="27" t="s">
        <v>43</v>
      </c>
      <c r="C12" s="16">
        <v>54</v>
      </c>
      <c r="D12" s="19"/>
      <c r="E12" s="26"/>
      <c r="F12" s="26"/>
    </row>
    <row r="13" spans="1:6" x14ac:dyDescent="0.25">
      <c r="A13" s="26" t="s">
        <v>123</v>
      </c>
      <c r="B13" s="27" t="s">
        <v>43</v>
      </c>
      <c r="C13" s="30">
        <f>C11+C12</f>
        <v>1554</v>
      </c>
      <c r="D13" s="19"/>
      <c r="E13" s="26"/>
      <c r="F13" s="26"/>
    </row>
    <row r="14" spans="1:6" ht="15.75" thickBot="1" x14ac:dyDescent="0.3">
      <c r="A14" s="40" t="s">
        <v>152</v>
      </c>
      <c r="B14" s="41" t="s">
        <v>43</v>
      </c>
      <c r="C14" s="54">
        <v>1874</v>
      </c>
      <c r="D14" s="19"/>
      <c r="E14" s="26" t="s">
        <v>164</v>
      </c>
      <c r="F14" s="26"/>
    </row>
    <row r="15" spans="1:6" x14ac:dyDescent="0.25">
      <c r="A15" s="26" t="s">
        <v>116</v>
      </c>
      <c r="B15" s="27"/>
      <c r="C15" s="15" t="s">
        <v>14</v>
      </c>
      <c r="D15" s="28"/>
      <c r="E15" s="26"/>
      <c r="F15" s="26"/>
    </row>
    <row r="16" spans="1:6" x14ac:dyDescent="0.25">
      <c r="A16" s="26" t="s">
        <v>187</v>
      </c>
      <c r="B16" s="27"/>
      <c r="C16" s="33">
        <f>VLOOKUP(C15,Balloon_Data!A5:D39,4,FALSE)</f>
        <v>0.25</v>
      </c>
      <c r="D16" s="29"/>
      <c r="E16" s="26" t="s">
        <v>179</v>
      </c>
    </row>
    <row r="17" spans="1:6" x14ac:dyDescent="0.25">
      <c r="A17" s="26" t="s">
        <v>188</v>
      </c>
      <c r="B17" s="27"/>
      <c r="C17" s="57">
        <v>0.35</v>
      </c>
      <c r="D17" s="29"/>
      <c r="E17" s="26" t="s">
        <v>180</v>
      </c>
    </row>
    <row r="18" spans="1:6" x14ac:dyDescent="0.25">
      <c r="A18" s="26" t="s">
        <v>117</v>
      </c>
      <c r="B18" s="27" t="s">
        <v>43</v>
      </c>
      <c r="C18" s="13">
        <f>VLOOKUP(C15,Balloon_Data!A5:D39,2,FALSE)</f>
        <v>1500</v>
      </c>
      <c r="D18" s="29"/>
      <c r="E18" s="26"/>
      <c r="F18" s="26"/>
    </row>
    <row r="19" spans="1:6" x14ac:dyDescent="0.25">
      <c r="A19" s="26" t="s">
        <v>118</v>
      </c>
      <c r="B19" s="27" t="s">
        <v>43</v>
      </c>
      <c r="C19" s="16">
        <v>54</v>
      </c>
      <c r="D19" s="19"/>
      <c r="E19" s="26"/>
      <c r="F19" s="26"/>
    </row>
    <row r="20" spans="1:6" x14ac:dyDescent="0.25">
      <c r="A20" s="26" t="s">
        <v>119</v>
      </c>
      <c r="B20" s="27" t="s">
        <v>43</v>
      </c>
      <c r="C20" s="30">
        <f>C18+C19</f>
        <v>1554</v>
      </c>
      <c r="D20" s="19"/>
      <c r="E20" s="26"/>
      <c r="F20" s="26"/>
    </row>
    <row r="21" spans="1:6" ht="15.75" thickBot="1" x14ac:dyDescent="0.3">
      <c r="A21" s="40" t="s">
        <v>153</v>
      </c>
      <c r="B21" s="41" t="s">
        <v>43</v>
      </c>
      <c r="C21" s="54">
        <v>2991</v>
      </c>
      <c r="D21" s="19"/>
      <c r="E21" s="26" t="s">
        <v>165</v>
      </c>
      <c r="F21" s="26"/>
    </row>
    <row r="22" spans="1:6" x14ac:dyDescent="0.25">
      <c r="A22" s="26" t="s">
        <v>47</v>
      </c>
      <c r="B22" s="27" t="s">
        <v>43</v>
      </c>
      <c r="C22" s="16">
        <v>1775</v>
      </c>
      <c r="D22" s="19"/>
      <c r="E22" s="26"/>
      <c r="F22" s="26"/>
    </row>
    <row r="23" spans="1:6" x14ac:dyDescent="0.25">
      <c r="A23" s="26" t="s">
        <v>49</v>
      </c>
      <c r="B23" s="27"/>
      <c r="C23" s="15" t="s">
        <v>50</v>
      </c>
      <c r="D23" s="28"/>
      <c r="E23" s="26"/>
      <c r="F23" s="26"/>
    </row>
    <row r="24" spans="1:6" x14ac:dyDescent="0.25">
      <c r="A24" s="26" t="s">
        <v>56</v>
      </c>
      <c r="B24" s="27" t="s">
        <v>57</v>
      </c>
      <c r="C24" s="17">
        <v>700</v>
      </c>
      <c r="D24" s="29"/>
      <c r="E24" s="26"/>
      <c r="F24" s="26"/>
    </row>
    <row r="25" spans="1:6" x14ac:dyDescent="0.25">
      <c r="A25" s="26" t="s">
        <v>59</v>
      </c>
      <c r="B25" s="27" t="s">
        <v>58</v>
      </c>
      <c r="C25" s="30">
        <f>atmospheric_temperature(C24)</f>
        <v>10.497</v>
      </c>
      <c r="D25" s="30"/>
      <c r="E25" s="26"/>
      <c r="F25" s="26"/>
    </row>
    <row r="26" spans="1:6" x14ac:dyDescent="0.25">
      <c r="A26" s="26" t="s">
        <v>67</v>
      </c>
      <c r="B26" s="27" t="s">
        <v>58</v>
      </c>
      <c r="C26" s="16">
        <v>22</v>
      </c>
      <c r="D26" s="30"/>
      <c r="E26" s="31" t="s">
        <v>65</v>
      </c>
      <c r="F26" s="26"/>
    </row>
    <row r="27" spans="1:6" x14ac:dyDescent="0.25">
      <c r="A27" s="26" t="s">
        <v>68</v>
      </c>
      <c r="B27" s="27" t="s">
        <v>58</v>
      </c>
      <c r="C27" s="16">
        <v>22</v>
      </c>
      <c r="D27" s="26"/>
      <c r="E27" s="31" t="s">
        <v>65</v>
      </c>
      <c r="F27" s="26"/>
    </row>
    <row r="28" spans="1:6" x14ac:dyDescent="0.25">
      <c r="A28" s="26" t="s">
        <v>60</v>
      </c>
      <c r="B28" s="27" t="s">
        <v>62</v>
      </c>
      <c r="C28" s="30">
        <f>Atmospheric_Pressure(C24)</f>
        <v>93.275042041811972</v>
      </c>
      <c r="D28" s="30"/>
      <c r="E28" s="26"/>
      <c r="F28" s="26"/>
    </row>
    <row r="29" spans="1:6" x14ac:dyDescent="0.25">
      <c r="A29" s="26" t="s">
        <v>69</v>
      </c>
      <c r="B29" s="27" t="s">
        <v>62</v>
      </c>
      <c r="C29" s="16">
        <v>93.6</v>
      </c>
      <c r="D29" s="26"/>
      <c r="E29" s="31" t="s">
        <v>66</v>
      </c>
      <c r="F29" s="26"/>
    </row>
    <row r="30" spans="1:6" ht="17.25" x14ac:dyDescent="0.25">
      <c r="A30" s="26" t="s">
        <v>61</v>
      </c>
      <c r="B30" s="27" t="s">
        <v>63</v>
      </c>
      <c r="C30" s="20">
        <f>Atmospheric_Density(C24)</f>
        <v>1.1463923328761279</v>
      </c>
      <c r="D30" s="20"/>
      <c r="E30" s="26"/>
      <c r="F30" s="26"/>
    </row>
    <row r="31" spans="1:6" ht="17.25" x14ac:dyDescent="0.25">
      <c r="A31" s="26" t="s">
        <v>70</v>
      </c>
      <c r="B31" s="27" t="s">
        <v>63</v>
      </c>
      <c r="C31" s="20">
        <f>C29/(0.2869*(C26+Constants!B3))</f>
        <v>1.1055441503662882</v>
      </c>
      <c r="D31" s="26"/>
      <c r="E31" s="26"/>
      <c r="F31" s="26"/>
    </row>
    <row r="32" spans="1:6" x14ac:dyDescent="0.25">
      <c r="A32" s="26" t="s">
        <v>181</v>
      </c>
      <c r="B32" s="27" t="s">
        <v>62</v>
      </c>
      <c r="C32" s="56">
        <v>0.15</v>
      </c>
      <c r="D32" s="26"/>
      <c r="E32" s="26"/>
      <c r="F32" s="26"/>
    </row>
    <row r="33" spans="1:6" x14ac:dyDescent="0.25">
      <c r="A33" s="26" t="s">
        <v>190</v>
      </c>
      <c r="B33" s="27" t="s">
        <v>62</v>
      </c>
      <c r="C33" s="56">
        <v>0.15</v>
      </c>
      <c r="D33" s="26"/>
      <c r="E33" s="26"/>
      <c r="F33" s="26"/>
    </row>
    <row r="34" spans="1:6" x14ac:dyDescent="0.25">
      <c r="A34" s="26" t="s">
        <v>113</v>
      </c>
      <c r="B34" s="27" t="s">
        <v>76</v>
      </c>
      <c r="C34" s="32">
        <f>VLOOKUP(C23,Gas!A5:E6,3,FALSE)</f>
        <v>4.0026020000000001E-3</v>
      </c>
      <c r="D34" s="26"/>
      <c r="E34" s="26"/>
      <c r="F34" s="26"/>
    </row>
    <row r="35" spans="1:6" ht="18" thickBot="1" x14ac:dyDescent="0.3">
      <c r="A35" s="40" t="s">
        <v>71</v>
      </c>
      <c r="B35" s="41" t="s">
        <v>63</v>
      </c>
      <c r="C35" s="42">
        <f>((C29+C32)*1000)*C34/(Constants!B5*(C27+Constants!B3))</f>
        <v>0.15293625000259006</v>
      </c>
      <c r="D35" s="26"/>
      <c r="E35" s="26"/>
      <c r="F35" s="26"/>
    </row>
    <row r="36" spans="1:6" x14ac:dyDescent="0.25">
      <c r="A36" s="45" t="s">
        <v>154</v>
      </c>
      <c r="B36" s="44" t="s">
        <v>90</v>
      </c>
      <c r="C36" s="46">
        <f>(C13+C14)/1000</f>
        <v>3.4279999999999999</v>
      </c>
      <c r="D36" s="26"/>
      <c r="E36" s="26"/>
      <c r="F36" s="26"/>
    </row>
    <row r="37" spans="1:6" ht="17.25" x14ac:dyDescent="0.25">
      <c r="A37" s="45" t="s">
        <v>134</v>
      </c>
      <c r="B37" s="27" t="s">
        <v>80</v>
      </c>
      <c r="C37" s="46">
        <f>C36/(C31-C35)</f>
        <v>3.5985424839445659</v>
      </c>
      <c r="D37" s="26"/>
      <c r="E37" s="26"/>
      <c r="F37" s="26"/>
    </row>
    <row r="38" spans="1:6" x14ac:dyDescent="0.25">
      <c r="A38" s="45" t="s">
        <v>135</v>
      </c>
      <c r="B38" s="44" t="s">
        <v>86</v>
      </c>
      <c r="C38" s="47">
        <f>C37*1000</f>
        <v>3598.5424839445659</v>
      </c>
      <c r="D38" s="26"/>
      <c r="E38" s="26"/>
      <c r="F38" s="26"/>
    </row>
    <row r="39" spans="1:6" x14ac:dyDescent="0.25">
      <c r="A39" s="45" t="s">
        <v>136</v>
      </c>
      <c r="B39" s="44" t="s">
        <v>57</v>
      </c>
      <c r="C39" s="48">
        <f>2*POWER((3 * C37 / (4 * PI())),(1/3))</f>
        <v>1.9012650753977001</v>
      </c>
      <c r="D39" s="26"/>
      <c r="E39" s="26"/>
      <c r="F39" s="26"/>
    </row>
    <row r="40" spans="1:6" ht="17.25" x14ac:dyDescent="0.25">
      <c r="A40" s="45" t="s">
        <v>155</v>
      </c>
      <c r="B40" s="44" t="s">
        <v>94</v>
      </c>
      <c r="C40" s="48">
        <f>PI()*POWER((C39/2),2)</f>
        <v>2.8390642608252574</v>
      </c>
      <c r="D40" s="26"/>
      <c r="E40" s="26"/>
      <c r="F40" s="26"/>
    </row>
    <row r="41" spans="1:6" ht="15.75" thickBot="1" x14ac:dyDescent="0.3">
      <c r="A41" s="40" t="s">
        <v>133</v>
      </c>
      <c r="B41" s="41" t="s">
        <v>81</v>
      </c>
      <c r="C41" s="51">
        <f>((C29+C32)*1000)*C37/(Constants!B5*(C27+Constants!B3))</f>
        <v>137.49745614714814</v>
      </c>
      <c r="D41" s="26"/>
      <c r="E41" s="26"/>
      <c r="F41" s="26"/>
    </row>
    <row r="42" spans="1:6" x14ac:dyDescent="0.25">
      <c r="A42" s="45" t="s">
        <v>156</v>
      </c>
      <c r="B42" s="44" t="s">
        <v>90</v>
      </c>
      <c r="C42" s="46">
        <f>(C20+C21)/1000</f>
        <v>4.5449999999999999</v>
      </c>
      <c r="D42" s="26"/>
      <c r="E42" s="26"/>
      <c r="F42" s="26"/>
    </row>
    <row r="43" spans="1:6" ht="17.25" x14ac:dyDescent="0.25">
      <c r="A43" s="45" t="s">
        <v>145</v>
      </c>
      <c r="B43" s="27" t="s">
        <v>80</v>
      </c>
      <c r="C43" s="46">
        <f>C42/(C31-C35)</f>
        <v>4.7711130657899803</v>
      </c>
      <c r="D43" s="26"/>
      <c r="E43" s="26"/>
      <c r="F43" s="26"/>
    </row>
    <row r="44" spans="1:6" x14ac:dyDescent="0.25">
      <c r="A44" s="45" t="s">
        <v>157</v>
      </c>
      <c r="B44" s="44" t="s">
        <v>86</v>
      </c>
      <c r="C44" s="47">
        <f>C43*1000</f>
        <v>4771.1130657899803</v>
      </c>
      <c r="D44" s="26"/>
      <c r="E44" s="26"/>
      <c r="F44" s="26"/>
    </row>
    <row r="45" spans="1:6" x14ac:dyDescent="0.25">
      <c r="A45" s="45" t="s">
        <v>142</v>
      </c>
      <c r="B45" s="44" t="s">
        <v>57</v>
      </c>
      <c r="C45" s="48">
        <f>2*POWER((3 * C43 / (4 * PI())),(1/3))</f>
        <v>2.0886885954130996</v>
      </c>
      <c r="D45" s="26"/>
      <c r="E45" s="26"/>
      <c r="F45" s="26"/>
    </row>
    <row r="46" spans="1:6" ht="17.25" x14ac:dyDescent="0.25">
      <c r="A46" s="45" t="s">
        <v>158</v>
      </c>
      <c r="B46" s="44" t="s">
        <v>94</v>
      </c>
      <c r="C46" s="48">
        <f>PI()*POWER((C45/2),2)</f>
        <v>3.4263937737781962</v>
      </c>
      <c r="D46" s="26"/>
      <c r="E46" s="26"/>
      <c r="F46" s="26"/>
    </row>
    <row r="47" spans="1:6" ht="15.75" thickBot="1" x14ac:dyDescent="0.3">
      <c r="A47" s="40" t="s">
        <v>173</v>
      </c>
      <c r="B47" s="41" t="s">
        <v>81</v>
      </c>
      <c r="C47" s="51">
        <f>((C29+C32)*1000)*C43/(Constants!B5*(C27+Constants!B3))</f>
        <v>182.30044871318213</v>
      </c>
      <c r="D47" s="26"/>
      <c r="E47" s="26"/>
      <c r="F47" s="26"/>
    </row>
    <row r="48" spans="1:6" ht="17.25" x14ac:dyDescent="0.25">
      <c r="A48" s="45" t="s">
        <v>159</v>
      </c>
      <c r="B48" s="44" t="s">
        <v>94</v>
      </c>
      <c r="C48" s="48">
        <f>C40+C46</f>
        <v>6.2654580346034532</v>
      </c>
      <c r="D48" s="26"/>
      <c r="E48" s="26"/>
      <c r="F48" s="26"/>
    </row>
    <row r="49" spans="1:6" x14ac:dyDescent="0.25">
      <c r="A49" s="45" t="s">
        <v>160</v>
      </c>
      <c r="B49" s="44" t="s">
        <v>90</v>
      </c>
      <c r="C49" s="48">
        <f>C36+C42</f>
        <v>7.9729999999999999</v>
      </c>
      <c r="D49" s="26"/>
      <c r="E49" s="26"/>
      <c r="F49" s="26"/>
    </row>
    <row r="50" spans="1:6" x14ac:dyDescent="0.25">
      <c r="A50" s="45" t="s">
        <v>161</v>
      </c>
      <c r="B50" s="44" t="s">
        <v>90</v>
      </c>
      <c r="C50" s="48">
        <f>C49-((C13+C20+C22)/1000)</f>
        <v>3.09</v>
      </c>
      <c r="D50" s="26"/>
      <c r="E50" s="26"/>
      <c r="F50" s="26"/>
    </row>
    <row r="51" spans="1:6" x14ac:dyDescent="0.25">
      <c r="A51" s="45" t="s">
        <v>189</v>
      </c>
      <c r="B51" s="44"/>
      <c r="C51" s="58">
        <f>MAX(C10,C17)</f>
        <v>0.35</v>
      </c>
      <c r="D51" s="19"/>
      <c r="E51" s="26"/>
      <c r="F51" s="26"/>
    </row>
    <row r="52" spans="1:6" ht="15.75" thickBot="1" x14ac:dyDescent="0.3">
      <c r="A52" s="49" t="s">
        <v>172</v>
      </c>
      <c r="B52" s="41" t="s">
        <v>96</v>
      </c>
      <c r="C52" s="50">
        <f>POWER((2 * C50 * Constants!B4 / (C31 * C51* C48)),0.5)</f>
        <v>4.9999290860848573</v>
      </c>
      <c r="D52" s="26"/>
      <c r="E52" s="26"/>
      <c r="F52" s="26"/>
    </row>
    <row r="53" spans="1:6" x14ac:dyDescent="0.25">
      <c r="A53" s="43" t="s">
        <v>124</v>
      </c>
      <c r="B53" s="44" t="s">
        <v>57</v>
      </c>
      <c r="C53" s="55">
        <v>20000</v>
      </c>
      <c r="D53" s="26"/>
      <c r="E53" s="26"/>
      <c r="F53" s="26"/>
    </row>
    <row r="54" spans="1:6" ht="15.75" thickBot="1" x14ac:dyDescent="0.3">
      <c r="A54" s="40" t="s">
        <v>162</v>
      </c>
      <c r="B54" s="41" t="s">
        <v>99</v>
      </c>
      <c r="C54" s="50">
        <f>C53/C52/60</f>
        <v>66.66761219894552</v>
      </c>
      <c r="D54" s="26"/>
      <c r="E54" s="26"/>
      <c r="F54" s="26"/>
    </row>
    <row r="55" spans="1:6" x14ac:dyDescent="0.25">
      <c r="A55" s="26" t="s">
        <v>127</v>
      </c>
      <c r="B55" s="27" t="s">
        <v>62</v>
      </c>
      <c r="C55" s="19">
        <f>Atmospheric_Pressure(C53)</f>
        <v>5.5298453634253502</v>
      </c>
      <c r="D55" s="26"/>
      <c r="E55" s="26"/>
      <c r="F55" s="26"/>
    </row>
    <row r="56" spans="1:6" x14ac:dyDescent="0.25">
      <c r="A56" s="26" t="s">
        <v>128</v>
      </c>
      <c r="B56" s="27" t="s">
        <v>58</v>
      </c>
      <c r="C56" s="19">
        <f>atmospheric_temperature(C53)</f>
        <v>-56.46</v>
      </c>
      <c r="D56" s="26"/>
      <c r="E56" s="26"/>
      <c r="F56" s="26"/>
    </row>
    <row r="57" spans="1:6" ht="17.25" x14ac:dyDescent="0.25">
      <c r="A57" s="26" t="s">
        <v>130</v>
      </c>
      <c r="B57" s="27" t="s">
        <v>63</v>
      </c>
      <c r="C57" s="53">
        <f>Atmospheric_Density(C53)</f>
        <v>8.8970041186483426E-2</v>
      </c>
      <c r="D57" s="26"/>
      <c r="E57" s="26"/>
      <c r="F57" s="26"/>
    </row>
    <row r="58" spans="1:6" ht="17.25" x14ac:dyDescent="0.25">
      <c r="A58" s="26" t="s">
        <v>125</v>
      </c>
      <c r="B58" s="27" t="s">
        <v>63</v>
      </c>
      <c r="C58" s="53">
        <f>((C55+C33)*1000) * C34 / (Constants!B5 * (C56 + Constants!B3))</f>
        <v>1.2621362349370986E-2</v>
      </c>
      <c r="D58" s="26"/>
      <c r="E58" s="26" t="s">
        <v>126</v>
      </c>
      <c r="F58" s="26"/>
    </row>
    <row r="59" spans="1:6" x14ac:dyDescent="0.25">
      <c r="A59" s="26" t="s">
        <v>174</v>
      </c>
      <c r="B59" s="27" t="s">
        <v>57</v>
      </c>
      <c r="C59" s="24">
        <f>VLOOKUP(C15,Balloon_Data!A5:D39,3,FALSE)</f>
        <v>9.44</v>
      </c>
      <c r="D59" s="26"/>
      <c r="E59" s="26"/>
      <c r="F59" s="26"/>
    </row>
    <row r="60" spans="1:6" ht="17.25" x14ac:dyDescent="0.25">
      <c r="A60" s="26" t="s">
        <v>146</v>
      </c>
      <c r="B60" s="27" t="s">
        <v>80</v>
      </c>
      <c r="C60" s="53">
        <f>C47 * Constants!B5 * (C56 + Constants!B3) / ((C55+C33)*1000)</f>
        <v>57.812787591558632</v>
      </c>
      <c r="D60" s="26"/>
      <c r="E60" s="26" t="s">
        <v>166</v>
      </c>
      <c r="F60" s="26"/>
    </row>
    <row r="61" spans="1:6" x14ac:dyDescent="0.25">
      <c r="A61" s="26" t="s">
        <v>147</v>
      </c>
      <c r="B61" s="27" t="s">
        <v>57</v>
      </c>
      <c r="C61" s="53">
        <f>2*POWER((C60*3/(4*PI())),(1/3))</f>
        <v>4.7974276006685548</v>
      </c>
      <c r="D61" s="26"/>
      <c r="E61" s="26"/>
      <c r="F61" s="26"/>
    </row>
    <row r="62" spans="1:6" x14ac:dyDescent="0.25">
      <c r="A62" s="26" t="s">
        <v>132</v>
      </c>
      <c r="B62" s="27" t="s">
        <v>57</v>
      </c>
      <c r="C62" s="24">
        <f>VLOOKUP(C8,Balloon_Data!A5:D39,3,FALSE)</f>
        <v>9.44</v>
      </c>
      <c r="D62" s="26"/>
      <c r="E62" s="26"/>
      <c r="F62" s="26"/>
    </row>
    <row r="63" spans="1:6" ht="17.25" x14ac:dyDescent="0.25">
      <c r="A63" s="26" t="s">
        <v>129</v>
      </c>
      <c r="B63" s="27" t="s">
        <v>80</v>
      </c>
      <c r="C63" s="53">
        <f>C41 * Constants!B5 * (C56 + Constants!B3) / ((C55+C33)*1000)</f>
        <v>43.604452335283383</v>
      </c>
      <c r="D63" s="26"/>
      <c r="E63" s="26" t="s">
        <v>166</v>
      </c>
      <c r="F63" s="26"/>
    </row>
    <row r="64" spans="1:6" x14ac:dyDescent="0.25">
      <c r="A64" s="26" t="s">
        <v>131</v>
      </c>
      <c r="B64" s="27" t="s">
        <v>57</v>
      </c>
      <c r="C64" s="53">
        <f>2*POWER((C63*3/(4*PI())),(1/3))</f>
        <v>4.366941806897799</v>
      </c>
      <c r="D64" s="26"/>
      <c r="E64" s="26"/>
      <c r="F64" s="26"/>
    </row>
    <row r="65" spans="1:6" ht="17.25" x14ac:dyDescent="0.25">
      <c r="A65" s="26" t="s">
        <v>167</v>
      </c>
      <c r="B65" s="44" t="s">
        <v>94</v>
      </c>
      <c r="C65" s="24">
        <f>PI()*POWER((C64/2),2)</f>
        <v>14.977684932648287</v>
      </c>
      <c r="D65" s="26"/>
      <c r="E65" s="26"/>
      <c r="F65" s="26"/>
    </row>
    <row r="66" spans="1:6" x14ac:dyDescent="0.25">
      <c r="A66" s="26" t="s">
        <v>169</v>
      </c>
      <c r="B66" s="44" t="s">
        <v>90</v>
      </c>
      <c r="C66" s="20">
        <f>C63*(C57-C58)</f>
        <v>3.3291423272147287</v>
      </c>
      <c r="D66" s="26"/>
      <c r="E66" s="26"/>
      <c r="F66" s="26"/>
    </row>
    <row r="67" spans="1:6" x14ac:dyDescent="0.25">
      <c r="A67" s="26" t="s">
        <v>168</v>
      </c>
      <c r="B67" s="44" t="s">
        <v>90</v>
      </c>
      <c r="C67" s="35">
        <f>C66-((C13+C22)/1000)</f>
        <v>1.423272147285104E-4</v>
      </c>
      <c r="D67" s="26"/>
      <c r="E67" s="26"/>
      <c r="F67" s="26"/>
    </row>
    <row r="68" spans="1:6" x14ac:dyDescent="0.25">
      <c r="A68" s="26" t="s">
        <v>170</v>
      </c>
      <c r="B68" s="27"/>
      <c r="C68" s="52" t="str">
        <f>IF(C67&gt;=0,"UP","DOWN")</f>
        <v>UP</v>
      </c>
      <c r="D68" s="26"/>
      <c r="E68" s="26"/>
      <c r="F68" s="26"/>
    </row>
    <row r="69" spans="1:6" x14ac:dyDescent="0.25">
      <c r="A69" s="26" t="s">
        <v>171</v>
      </c>
      <c r="B69" s="27" t="s">
        <v>96</v>
      </c>
      <c r="C69" s="36">
        <f>POWER((2 * ABS(C67) * Constants!B4 / (C31 * C9 * C40)),0.5)</f>
        <v>5.9646010353626266E-2</v>
      </c>
      <c r="D69" s="26"/>
      <c r="E69" s="26" t="s">
        <v>175</v>
      </c>
      <c r="F69" s="26"/>
    </row>
    <row r="70" spans="1:6" x14ac:dyDescent="0.25">
      <c r="A70" s="26"/>
      <c r="B70" s="27"/>
      <c r="C70" s="20"/>
      <c r="D70" s="26"/>
      <c r="E70" s="26"/>
      <c r="F70" s="26"/>
    </row>
    <row r="71" spans="1:6" x14ac:dyDescent="0.25">
      <c r="B71" s="7"/>
    </row>
    <row r="72" spans="1:6" x14ac:dyDescent="0.25">
      <c r="B72" s="7"/>
    </row>
    <row r="73" spans="1:6" x14ac:dyDescent="0.25">
      <c r="B73" s="7"/>
    </row>
    <row r="74" spans="1:6" x14ac:dyDescent="0.25">
      <c r="B74" s="7"/>
    </row>
    <row r="75" spans="1:6" x14ac:dyDescent="0.25">
      <c r="B75" s="7"/>
    </row>
    <row r="76" spans="1:6" x14ac:dyDescent="0.25">
      <c r="B76" s="7"/>
    </row>
    <row r="77" spans="1:6" x14ac:dyDescent="0.25">
      <c r="B77" s="7"/>
    </row>
    <row r="78" spans="1:6" x14ac:dyDescent="0.25">
      <c r="B78" s="7"/>
    </row>
    <row r="79" spans="1:6" x14ac:dyDescent="0.25">
      <c r="B79" s="7"/>
    </row>
    <row r="80" spans="1:6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</sheetData>
  <sheetProtection sheet="1" objects="1" scenarios="1"/>
  <conditionalFormatting sqref="C64">
    <cfRule type="cellIs" dxfId="5" priority="7" operator="greaterThan">
      <formula>$C$62</formula>
    </cfRule>
  </conditionalFormatting>
  <conditionalFormatting sqref="C50">
    <cfRule type="cellIs" dxfId="4" priority="4" operator="between">
      <formula>0</formula>
      <formula>1</formula>
    </cfRule>
    <cfRule type="cellIs" dxfId="3" priority="5" operator="lessThan">
      <formula>0</formula>
    </cfRule>
  </conditionalFormatting>
  <conditionalFormatting sqref="C68">
    <cfRule type="cellIs" dxfId="2" priority="2" operator="equal">
      <formula>"DOWN"</formula>
    </cfRule>
    <cfRule type="cellIs" dxfId="1" priority="3" operator="equal">
      <formula>"UP"</formula>
    </cfRule>
  </conditionalFormatting>
  <conditionalFormatting sqref="C61">
    <cfRule type="cellIs" dxfId="0" priority="1" operator="greaterThan">
      <formula>$C$59</formula>
    </cfRule>
  </conditionalFormatting>
  <pageMargins left="0.7" right="0.7" top="0.75" bottom="0.75" header="0.3" footer="0.3"/>
  <pageSetup paperSize="9" orientation="portrait" horizontalDpi="4294967293" verticalDpi="4294967293" r:id="rId1"/>
  <ignoredErrors>
    <ignoredError sqref="C61:C62 C55:C57 C51 C59 C64:C65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Gas!$A$5:$A$6</xm:f>
          </x14:formula1>
          <xm:sqref>C23:D23</xm:sqref>
        </x14:dataValidation>
        <x14:dataValidation type="list">
          <x14:formula1>
            <xm:f>Balloon_Data!$A$5:$A$39</xm:f>
          </x14:formula1>
          <xm:sqref>C8:D8 C15:D15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9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2" max="2" width="9.140625" customWidth="1"/>
  </cols>
  <sheetData>
    <row r="1" spans="1:4" x14ac:dyDescent="0.25">
      <c r="A1" s="1" t="s">
        <v>2</v>
      </c>
    </row>
    <row r="2" spans="1:4" x14ac:dyDescent="0.25">
      <c r="A2" s="1"/>
    </row>
    <row r="3" spans="1:4" ht="31.5" customHeight="1" x14ac:dyDescent="0.25">
      <c r="A3" s="2" t="s">
        <v>38</v>
      </c>
      <c r="B3" s="3" t="s">
        <v>40</v>
      </c>
      <c r="C3" s="3" t="s">
        <v>39</v>
      </c>
      <c r="D3" s="3" t="s">
        <v>41</v>
      </c>
    </row>
    <row r="5" spans="1:4" x14ac:dyDescent="0.25">
      <c r="A5" s="5" t="s">
        <v>3</v>
      </c>
      <c r="B5" s="4">
        <v>100</v>
      </c>
      <c r="C5" s="6">
        <v>1.96</v>
      </c>
      <c r="D5" s="6">
        <v>0.25</v>
      </c>
    </row>
    <row r="6" spans="1:4" x14ac:dyDescent="0.25">
      <c r="A6" s="5" t="s">
        <v>4</v>
      </c>
      <c r="B6" s="4">
        <v>200</v>
      </c>
      <c r="C6" s="6">
        <v>3</v>
      </c>
      <c r="D6" s="6">
        <v>0.25</v>
      </c>
    </row>
    <row r="7" spans="1:4" x14ac:dyDescent="0.25">
      <c r="A7" s="5" t="s">
        <v>5</v>
      </c>
      <c r="B7" s="4">
        <v>300</v>
      </c>
      <c r="C7" s="6">
        <v>3.78</v>
      </c>
      <c r="D7" s="6">
        <v>0.25</v>
      </c>
    </row>
    <row r="8" spans="1:4" x14ac:dyDescent="0.25">
      <c r="A8" s="5" t="s">
        <v>6</v>
      </c>
      <c r="B8" s="4">
        <v>350</v>
      </c>
      <c r="C8" s="6">
        <v>4.12</v>
      </c>
      <c r="D8" s="6">
        <v>0.25</v>
      </c>
    </row>
    <row r="9" spans="1:4" x14ac:dyDescent="0.25">
      <c r="A9" s="5" t="s">
        <v>7</v>
      </c>
      <c r="B9" s="4">
        <v>450</v>
      </c>
      <c r="C9" s="6">
        <v>4.72</v>
      </c>
      <c r="D9" s="6">
        <v>0.25</v>
      </c>
    </row>
    <row r="10" spans="1:4" x14ac:dyDescent="0.25">
      <c r="A10" s="5" t="s">
        <v>8</v>
      </c>
      <c r="B10" s="4">
        <v>500</v>
      </c>
      <c r="C10" s="6">
        <v>4.99</v>
      </c>
      <c r="D10" s="6">
        <v>0.25</v>
      </c>
    </row>
    <row r="11" spans="1:4" x14ac:dyDescent="0.25">
      <c r="A11" s="5" t="s">
        <v>9</v>
      </c>
      <c r="B11" s="4">
        <v>600</v>
      </c>
      <c r="C11" s="6">
        <v>6.02</v>
      </c>
      <c r="D11" s="6">
        <v>0.3</v>
      </c>
    </row>
    <row r="12" spans="1:4" x14ac:dyDescent="0.25">
      <c r="A12" s="5" t="s">
        <v>10</v>
      </c>
      <c r="B12" s="4">
        <v>700</v>
      </c>
      <c r="C12" s="6">
        <v>6.53</v>
      </c>
      <c r="D12" s="6">
        <v>0.3</v>
      </c>
    </row>
    <row r="13" spans="1:4" x14ac:dyDescent="0.25">
      <c r="A13" s="5" t="s">
        <v>11</v>
      </c>
      <c r="B13" s="4">
        <v>800</v>
      </c>
      <c r="C13" s="6">
        <v>7</v>
      </c>
      <c r="D13" s="6">
        <v>0.3</v>
      </c>
    </row>
    <row r="14" spans="1:4" x14ac:dyDescent="0.25">
      <c r="A14" s="5" t="s">
        <v>12</v>
      </c>
      <c r="B14" s="4">
        <v>1000</v>
      </c>
      <c r="C14" s="6">
        <v>7.86</v>
      </c>
      <c r="D14" s="6">
        <v>0.3</v>
      </c>
    </row>
    <row r="15" spans="1:4" x14ac:dyDescent="0.25">
      <c r="A15" s="5" t="s">
        <v>13</v>
      </c>
      <c r="B15" s="4">
        <v>1200</v>
      </c>
      <c r="C15" s="6">
        <v>8.6300000000000008</v>
      </c>
      <c r="D15" s="6">
        <v>0.25</v>
      </c>
    </row>
    <row r="16" spans="1:4" x14ac:dyDescent="0.25">
      <c r="A16" s="5" t="s">
        <v>14</v>
      </c>
      <c r="B16" s="4">
        <v>1500</v>
      </c>
      <c r="C16" s="6">
        <v>9.44</v>
      </c>
      <c r="D16" s="6">
        <v>0.25</v>
      </c>
    </row>
    <row r="17" spans="1:4" x14ac:dyDescent="0.25">
      <c r="A17" s="5" t="s">
        <v>15</v>
      </c>
      <c r="B17" s="4">
        <v>2000</v>
      </c>
      <c r="C17" s="6">
        <v>10.54</v>
      </c>
      <c r="D17" s="6">
        <v>0.25</v>
      </c>
    </row>
    <row r="18" spans="1:4" x14ac:dyDescent="0.25">
      <c r="A18" s="5" t="s">
        <v>16</v>
      </c>
      <c r="B18" s="4">
        <v>3000</v>
      </c>
      <c r="C18" s="6">
        <v>13</v>
      </c>
      <c r="D18" s="6">
        <v>0.25</v>
      </c>
    </row>
    <row r="19" spans="1:4" x14ac:dyDescent="0.25">
      <c r="A19" s="5" t="s">
        <v>17</v>
      </c>
      <c r="B19" s="4">
        <v>100</v>
      </c>
      <c r="C19" s="6">
        <v>2</v>
      </c>
      <c r="D19" s="6">
        <v>0.25</v>
      </c>
    </row>
    <row r="20" spans="1:4" x14ac:dyDescent="0.25">
      <c r="A20" s="5" t="s">
        <v>18</v>
      </c>
      <c r="B20" s="4">
        <v>200</v>
      </c>
      <c r="C20" s="6">
        <v>2.97</v>
      </c>
      <c r="D20" s="6">
        <v>0.25</v>
      </c>
    </row>
    <row r="21" spans="1:4" x14ac:dyDescent="0.25">
      <c r="A21" s="5" t="s">
        <v>19</v>
      </c>
      <c r="B21" s="4">
        <v>300</v>
      </c>
      <c r="C21" s="6">
        <v>4.3</v>
      </c>
      <c r="D21" s="6">
        <v>0.25</v>
      </c>
    </row>
    <row r="22" spans="1:4" x14ac:dyDescent="0.25">
      <c r="A22" s="5" t="s">
        <v>20</v>
      </c>
      <c r="B22" s="4">
        <v>350</v>
      </c>
      <c r="C22" s="6">
        <v>4.8</v>
      </c>
      <c r="D22" s="6">
        <v>0.25</v>
      </c>
    </row>
    <row r="23" spans="1:4" x14ac:dyDescent="0.25">
      <c r="A23" s="5" t="s">
        <v>21</v>
      </c>
      <c r="B23" s="4">
        <v>500</v>
      </c>
      <c r="C23" s="6">
        <v>5.8</v>
      </c>
      <c r="D23" s="6">
        <v>0.25</v>
      </c>
    </row>
    <row r="24" spans="1:4" x14ac:dyDescent="0.25">
      <c r="A24" s="5" t="s">
        <v>22</v>
      </c>
      <c r="B24" s="4">
        <v>600</v>
      </c>
      <c r="C24" s="6">
        <v>6.5</v>
      </c>
      <c r="D24" s="6">
        <v>0.3</v>
      </c>
    </row>
    <row r="25" spans="1:4" x14ac:dyDescent="0.25">
      <c r="A25" s="5" t="s">
        <v>23</v>
      </c>
      <c r="B25" s="4">
        <v>750</v>
      </c>
      <c r="C25" s="6">
        <v>6.9</v>
      </c>
      <c r="D25" s="6">
        <v>0.3</v>
      </c>
    </row>
    <row r="26" spans="1:4" x14ac:dyDescent="0.25">
      <c r="A26" s="5" t="s">
        <v>24</v>
      </c>
      <c r="B26" s="4">
        <v>800</v>
      </c>
      <c r="C26" s="6">
        <v>7</v>
      </c>
      <c r="D26" s="6">
        <v>0.3</v>
      </c>
    </row>
    <row r="27" spans="1:4" x14ac:dyDescent="0.25">
      <c r="A27" s="5" t="s">
        <v>25</v>
      </c>
      <c r="B27" s="4">
        <v>1000</v>
      </c>
      <c r="C27" s="6">
        <v>8</v>
      </c>
      <c r="D27" s="6">
        <v>0.3</v>
      </c>
    </row>
    <row r="28" spans="1:4" x14ac:dyDescent="0.25">
      <c r="A28" s="5" t="s">
        <v>26</v>
      </c>
      <c r="B28" s="4">
        <v>1200</v>
      </c>
      <c r="C28" s="6">
        <v>9.1</v>
      </c>
      <c r="D28" s="6">
        <v>0.25</v>
      </c>
    </row>
    <row r="29" spans="1:4" x14ac:dyDescent="0.25">
      <c r="A29" s="5" t="s">
        <v>27</v>
      </c>
      <c r="B29" s="4">
        <v>1600</v>
      </c>
      <c r="C29" s="6">
        <v>10</v>
      </c>
      <c r="D29" s="6">
        <v>0.25</v>
      </c>
    </row>
    <row r="30" spans="1:4" x14ac:dyDescent="0.25">
      <c r="A30" s="5" t="s">
        <v>28</v>
      </c>
      <c r="B30" s="4">
        <v>2000</v>
      </c>
      <c r="C30" s="6">
        <v>10</v>
      </c>
      <c r="D30" s="6">
        <v>0.25</v>
      </c>
    </row>
    <row r="31" spans="1:4" x14ac:dyDescent="0.25">
      <c r="A31" s="5" t="s">
        <v>29</v>
      </c>
      <c r="B31" s="4">
        <v>3000</v>
      </c>
      <c r="C31" s="6">
        <v>12</v>
      </c>
      <c r="D31" s="6">
        <v>0.25</v>
      </c>
    </row>
    <row r="32" spans="1:4" x14ac:dyDescent="0.25">
      <c r="A32" s="5" t="s">
        <v>30</v>
      </c>
      <c r="B32" s="4">
        <v>100</v>
      </c>
      <c r="C32" s="6">
        <v>1.85</v>
      </c>
      <c r="D32" s="6">
        <v>0.25</v>
      </c>
    </row>
    <row r="33" spans="1:4" x14ac:dyDescent="0.25">
      <c r="A33" s="5" t="s">
        <v>31</v>
      </c>
      <c r="B33" s="4">
        <v>350</v>
      </c>
      <c r="C33" s="6">
        <v>4</v>
      </c>
      <c r="D33" s="6">
        <v>0.25</v>
      </c>
    </row>
    <row r="34" spans="1:4" x14ac:dyDescent="0.25">
      <c r="A34" s="5" t="s">
        <v>32</v>
      </c>
      <c r="B34" s="4">
        <v>600</v>
      </c>
      <c r="C34" s="6">
        <v>5.8</v>
      </c>
      <c r="D34" s="6">
        <v>0.3</v>
      </c>
    </row>
    <row r="35" spans="1:4" x14ac:dyDescent="0.25">
      <c r="A35" s="5" t="s">
        <v>33</v>
      </c>
      <c r="B35" s="4">
        <v>800</v>
      </c>
      <c r="C35" s="6">
        <v>6.6</v>
      </c>
      <c r="D35" s="6">
        <v>0.3</v>
      </c>
    </row>
    <row r="36" spans="1:4" x14ac:dyDescent="0.25">
      <c r="A36" s="5" t="s">
        <v>34</v>
      </c>
      <c r="B36" s="4">
        <v>900</v>
      </c>
      <c r="C36" s="6">
        <v>7</v>
      </c>
      <c r="D36" s="6">
        <v>0.3</v>
      </c>
    </row>
    <row r="37" spans="1:4" x14ac:dyDescent="0.25">
      <c r="A37" s="5" t="s">
        <v>35</v>
      </c>
      <c r="B37" s="4">
        <v>1200</v>
      </c>
      <c r="C37" s="6">
        <v>8</v>
      </c>
      <c r="D37" s="6">
        <v>0.25</v>
      </c>
    </row>
    <row r="38" spans="1:4" x14ac:dyDescent="0.25">
      <c r="A38" s="5" t="s">
        <v>36</v>
      </c>
      <c r="B38" s="4">
        <v>1600</v>
      </c>
      <c r="C38" s="6">
        <v>9.5</v>
      </c>
      <c r="D38" s="6">
        <v>0.25</v>
      </c>
    </row>
    <row r="39" spans="1:4" x14ac:dyDescent="0.25">
      <c r="A39" s="5" t="s">
        <v>37</v>
      </c>
      <c r="B39" s="4">
        <v>2000</v>
      </c>
      <c r="C39" s="6">
        <v>10.199999999999999</v>
      </c>
      <c r="D39" s="6">
        <v>0.25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2" max="2" width="9.140625" customWidth="1"/>
    <col min="3" max="3" width="13.42578125" customWidth="1"/>
    <col min="4" max="4" width="13.140625" customWidth="1"/>
    <col min="5" max="5" width="9.42578125" customWidth="1"/>
  </cols>
  <sheetData>
    <row r="1" spans="1:5" x14ac:dyDescent="0.25">
      <c r="A1" s="1" t="s">
        <v>48</v>
      </c>
    </row>
    <row r="2" spans="1:5" x14ac:dyDescent="0.25">
      <c r="A2" s="1"/>
    </row>
    <row r="3" spans="1:5" ht="31.5" customHeight="1" x14ac:dyDescent="0.35">
      <c r="A3" s="2" t="s">
        <v>49</v>
      </c>
      <c r="B3" s="11" t="s">
        <v>52</v>
      </c>
      <c r="C3" s="11" t="s">
        <v>54</v>
      </c>
      <c r="D3" s="11" t="s">
        <v>53</v>
      </c>
      <c r="E3" s="11" t="s">
        <v>55</v>
      </c>
    </row>
    <row r="5" spans="1:5" x14ac:dyDescent="0.25">
      <c r="A5" s="5" t="s">
        <v>50</v>
      </c>
      <c r="B5" s="9">
        <v>1.046</v>
      </c>
      <c r="C5" s="10">
        <v>4.0026020000000001E-3</v>
      </c>
      <c r="D5" s="12">
        <v>6.6460000000000003E-27</v>
      </c>
      <c r="E5" s="6">
        <v>2077.2600000000002</v>
      </c>
    </row>
    <row r="6" spans="1:5" ht="18" x14ac:dyDescent="0.35">
      <c r="A6" t="s">
        <v>51</v>
      </c>
      <c r="B6" s="9">
        <v>1.135</v>
      </c>
      <c r="C6" s="10">
        <v>2.0158799999999998E-3</v>
      </c>
      <c r="D6" s="12">
        <v>3.3474E-27</v>
      </c>
      <c r="E6" s="6">
        <v>4124.4799999999996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A2" sqref="A2"/>
    </sheetView>
  </sheetViews>
  <sheetFormatPr defaultRowHeight="15" x14ac:dyDescent="0.25"/>
  <cols>
    <col min="1" max="1" width="30" customWidth="1"/>
    <col min="2" max="2" width="9.5703125" bestFit="1" customWidth="1"/>
  </cols>
  <sheetData>
    <row r="1" spans="1:2" x14ac:dyDescent="0.25">
      <c r="A1" s="1" t="s">
        <v>73</v>
      </c>
    </row>
    <row r="3" spans="1:2" x14ac:dyDescent="0.25">
      <c r="A3" t="s">
        <v>72</v>
      </c>
      <c r="B3" s="8">
        <v>273.10000000000002</v>
      </c>
    </row>
    <row r="4" spans="1:2" x14ac:dyDescent="0.25">
      <c r="A4" t="s">
        <v>74</v>
      </c>
      <c r="B4" s="9">
        <v>9.8070000000000004</v>
      </c>
    </row>
    <row r="5" spans="1:2" x14ac:dyDescent="0.25">
      <c r="A5" t="s">
        <v>75</v>
      </c>
      <c r="B5" s="14">
        <v>8.3144597999999998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Single_Balloon__Burst_Altitude</vt:lpstr>
      <vt:lpstr>Single_Balloon__Ascent_Rate</vt:lpstr>
      <vt:lpstr>Dual_Balloon__Ascent_Rate</vt:lpstr>
      <vt:lpstr>Dual_Balloon__Neck_Lift</vt:lpstr>
      <vt:lpstr>Balloon_Data</vt:lpstr>
      <vt:lpstr>Gas</vt:lpstr>
      <vt:lpstr>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Clark</dc:creator>
  <cp:lastModifiedBy>Paul Clark</cp:lastModifiedBy>
  <dcterms:created xsi:type="dcterms:W3CDTF">2018-06-10T16:00:42Z</dcterms:created>
  <dcterms:modified xsi:type="dcterms:W3CDTF">2018-06-18T21:51:24Z</dcterms:modified>
</cp:coreProperties>
</file>